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Semester 4\Pengantar Data Science\Tugas 1\"/>
    </mc:Choice>
  </mc:AlternateContent>
  <xr:revisionPtr revIDLastSave="0" documentId="13_ncr:1_{79D23F76-F680-4274-91D9-D888E94A568E}" xr6:coauthVersionLast="46" xr6:coauthVersionMax="46" xr10:uidLastSave="{00000000-0000-0000-0000-000000000000}"/>
  <bookViews>
    <workbookView xWindow="2925" yWindow="2040" windowWidth="14400" windowHeight="7785" xr2:uid="{00000000-000D-0000-FFFF-FFFF00000000}"/>
  </bookViews>
  <sheets>
    <sheet name="Sheet1" sheetId="1" r:id="rId1"/>
    <sheet name="Pivot Tabel" sheetId="2" r:id="rId2"/>
    <sheet name="Tabel Distribusi" sheetId="4" r:id="rId3"/>
    <sheet name="Chart Histogram" sheetId="5" r:id="rId4"/>
  </sheets>
  <definedNames>
    <definedName name="Slicer_GameGenre">#REF!</definedName>
    <definedName name="Slicer_Gender">#REF!</definedName>
  </definedNames>
  <calcPr calcId="191029"/>
  <pivotCaches>
    <pivotCache cacheId="4" r:id="rId5"/>
  </pivotCaches>
</workbook>
</file>

<file path=xl/calcChain.xml><?xml version="1.0" encoding="utf-8"?>
<calcChain xmlns="http://schemas.openxmlformats.org/spreadsheetml/2006/main">
  <c r="B169" i="1" l="1"/>
  <c r="B168" i="1"/>
  <c r="B167" i="1"/>
  <c r="B166" i="1"/>
  <c r="B165" i="1"/>
  <c r="G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D4" i="4"/>
  <c r="D11" i="4" s="1"/>
  <c r="D3" i="4"/>
  <c r="D5" i="4" s="1"/>
  <c r="D7" i="4" s="1"/>
  <c r="D2" i="4"/>
  <c r="D6" i="4" s="1"/>
  <c r="D163" i="1"/>
  <c r="D162" i="1"/>
  <c r="D161" i="1"/>
  <c r="D160" i="1"/>
  <c r="D159" i="1"/>
  <c r="D155" i="1"/>
  <c r="D154" i="1"/>
  <c r="E11" i="4" l="1"/>
  <c r="D12" i="4" s="1"/>
  <c r="F11" i="4"/>
  <c r="F12" i="4" l="1"/>
  <c r="E12" i="4"/>
  <c r="D13" i="4" s="1"/>
  <c r="E13" i="4" l="1"/>
  <c r="D14" i="4" s="1"/>
  <c r="E14" i="4" l="1"/>
  <c r="D15" i="4" s="1"/>
  <c r="F14" i="4"/>
  <c r="F13" i="4"/>
  <c r="E15" i="4" l="1"/>
  <c r="D16" i="4" s="1"/>
  <c r="E16" i="4" l="1"/>
  <c r="D17" i="4" s="1"/>
  <c r="F15" i="4"/>
  <c r="E17" i="4" l="1"/>
  <c r="D18" i="4" s="1"/>
  <c r="F16" i="4"/>
  <c r="E18" i="4" l="1"/>
  <c r="F18" i="4" s="1"/>
  <c r="F17" i="4"/>
</calcChain>
</file>

<file path=xl/sharedStrings.xml><?xml version="1.0" encoding="utf-8"?>
<sst xmlns="http://schemas.openxmlformats.org/spreadsheetml/2006/main" count="807" uniqueCount="57">
  <si>
    <t>PlayerID</t>
  </si>
  <si>
    <t>Age</t>
  </si>
  <si>
    <t>Gender</t>
  </si>
  <si>
    <t>Location</t>
  </si>
  <si>
    <t>GameGenre</t>
  </si>
  <si>
    <t>PlayTimeHours</t>
  </si>
  <si>
    <t>InGamePurchases</t>
  </si>
  <si>
    <t>GameDifficulty</t>
  </si>
  <si>
    <t>SessionsPerWeek</t>
  </si>
  <si>
    <t>AvgSessionDurationMinutes</t>
  </si>
  <si>
    <t>PlayerLevel</t>
  </si>
  <si>
    <t>AchievementsUnlocked</t>
  </si>
  <si>
    <t>EngagementLevel</t>
  </si>
  <si>
    <t>Male</t>
  </si>
  <si>
    <t>Other</t>
  </si>
  <si>
    <t>Strategy</t>
  </si>
  <si>
    <t>Medium</t>
  </si>
  <si>
    <t>Female</t>
  </si>
  <si>
    <t>USA</t>
  </si>
  <si>
    <t>Sports</t>
  </si>
  <si>
    <t>Easy</t>
  </si>
  <si>
    <t>High</t>
  </si>
  <si>
    <t>Action</t>
  </si>
  <si>
    <t>Europe</t>
  </si>
  <si>
    <t>RPG</t>
  </si>
  <si>
    <t>Low</t>
  </si>
  <si>
    <t>Hard</t>
  </si>
  <si>
    <t>Asia</t>
  </si>
  <si>
    <t>Simulation</t>
  </si>
  <si>
    <t>Banyaknya Pemain Perempuan :</t>
  </si>
  <si>
    <t>Banyaknya Pemain Laki-Laki :</t>
  </si>
  <si>
    <t>Genre Game</t>
  </si>
  <si>
    <t>Count of PlayerID</t>
  </si>
  <si>
    <t>Grand Total</t>
  </si>
  <si>
    <t>Max</t>
  </si>
  <si>
    <t>Range</t>
  </si>
  <si>
    <t>Kelas</t>
  </si>
  <si>
    <t>Panjang Kelas</t>
  </si>
  <si>
    <t>KELAS</t>
  </si>
  <si>
    <t>INTERVAL</t>
  </si>
  <si>
    <t>INTERVAL KELAS</t>
  </si>
  <si>
    <t>FREKUENSI RELATIF</t>
  </si>
  <si>
    <t>FREKUENSI KUMULATIF</t>
  </si>
  <si>
    <t>JUMLAH</t>
  </si>
  <si>
    <t xml:space="preserve">Banyak Nilai </t>
  </si>
  <si>
    <t xml:space="preserve">Min </t>
  </si>
  <si>
    <t>FREKUENSI</t>
  </si>
  <si>
    <t xml:space="preserve">Sum </t>
  </si>
  <si>
    <t>Average</t>
  </si>
  <si>
    <t>Vlookup</t>
  </si>
  <si>
    <t>IF</t>
  </si>
  <si>
    <t>CountIF</t>
  </si>
  <si>
    <t>total playtime hours</t>
  </si>
  <si>
    <t>average playtime hours</t>
  </si>
  <si>
    <t>mencari genre game pada userID</t>
  </si>
  <si>
    <t>jika level player &gt; 50, maka disebut pro, jika tidak, maka disebut casual</t>
  </si>
  <si>
    <t>menghitung berapa banyak data yang berupa kualitatif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</si>
</sst>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  <font>
      <sz val="12"/>
      <color theme="1"/>
      <name val="Arial"/>
    </font>
    <font>
      <b/>
      <sz val="12"/>
      <color theme="1"/>
      <name val="Arial"/>
    </font>
    <font>
      <b/>
      <sz val="12"/>
      <color theme="1"/>
      <name val="Aptos Narrow"/>
      <scheme val="minor"/>
    </font>
    <font>
      <b/>
      <sz val="12"/>
      <color theme="1"/>
      <name val="Aptos Narrow"/>
    </font>
    <font>
      <sz val="12"/>
      <color rgb="FF000000"/>
      <name val="Arial"/>
    </font>
    <font>
      <sz val="12"/>
      <color rgb="FF000000"/>
      <name val="&quot;Aptos Narrow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/>
    <xf numFmtId="3" fontId="1" fillId="0" borderId="1" xfId="0" applyNumberFormat="1" applyFont="1" applyBorder="1"/>
    <xf numFmtId="2" fontId="1" fillId="0" borderId="1" xfId="0" applyNumberFormat="1" applyFont="1" applyBorder="1"/>
    <xf numFmtId="0" fontId="2" fillId="0" borderId="0" xfId="0" applyFont="1"/>
    <xf numFmtId="1" fontId="1" fillId="0" borderId="0" xfId="0" applyNumberFormat="1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3" xfId="0" applyFill="1" applyBorder="1"/>
    <xf numFmtId="0" fontId="0" fillId="4" borderId="8" xfId="0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3" borderId="5" xfId="0" applyFont="1" applyFill="1" applyBorder="1"/>
    <xf numFmtId="0" fontId="5" fillId="3" borderId="10" xfId="0" applyFont="1" applyFill="1" applyBorder="1"/>
    <xf numFmtId="0" fontId="5" fillId="2" borderId="3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1" fillId="0" borderId="0" xfId="0" applyFont="1" applyAlignment="1">
      <alignment horizontal="center"/>
    </xf>
    <xf numFmtId="0" fontId="0" fillId="0" borderId="0" xfId="0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5" fillId="3" borderId="10" xfId="0" applyNumberFormat="1" applyFont="1" applyFill="1" applyBorder="1"/>
    <xf numFmtId="0" fontId="5" fillId="3" borderId="11" xfId="0" applyNumberFormat="1" applyFont="1" applyFill="1" applyBorder="1"/>
    <xf numFmtId="0" fontId="5" fillId="3" borderId="12" xfId="0" applyNumberFormat="1" applyFont="1" applyFill="1" applyBorder="1"/>
  </cellXfs>
  <cellStyles count="1">
    <cellStyle name="Normal" xfId="0" builtinId="0"/>
  </cellStyles>
  <dxfs count="3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7999816888943144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Count of PlayerID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Female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Tabel'!$A$7:$A$12</c:f>
              <c:strCache>
                <c:ptCount val="6"/>
                <c:pt idx="0">
                  <c:v>Action</c:v>
                </c:pt>
                <c:pt idx="1">
                  <c:v>RPG</c:v>
                </c:pt>
                <c:pt idx="2">
                  <c:v>Simulation</c:v>
                </c:pt>
                <c:pt idx="3">
                  <c:v>Sports</c:v>
                </c:pt>
                <c:pt idx="4">
                  <c:v>Strategy</c:v>
                </c:pt>
                <c:pt idx="5">
                  <c:v>Grand Total</c:v>
                </c:pt>
              </c:strCache>
            </c:strRef>
          </c:cat>
          <c:val>
            <c:numRef>
              <c:f>'Pivot Tabel'!$B$7:$B$12</c:f>
              <c:numCache>
                <c:formatCode>General</c:formatCode>
                <c:ptCount val="6"/>
                <c:pt idx="0">
                  <c:v>14</c:v>
                </c:pt>
                <c:pt idx="1">
                  <c:v>8</c:v>
                </c:pt>
                <c:pt idx="2">
                  <c:v>11</c:v>
                </c:pt>
                <c:pt idx="3">
                  <c:v>15</c:v>
                </c:pt>
                <c:pt idx="4">
                  <c:v>13</c:v>
                </c:pt>
                <c:pt idx="5">
                  <c:v>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5A-458E-9003-9297207D652B}"/>
            </c:ext>
          </c:extLst>
        </c:ser>
        <c:ser>
          <c:idx val="1"/>
          <c:order val="1"/>
          <c:tx>
            <c:v>Male</c:v>
          </c:tx>
          <c:spPr>
            <a:solidFill>
              <a:srgbClr val="E9713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Tabel'!$A$7:$A$12</c:f>
              <c:strCache>
                <c:ptCount val="6"/>
                <c:pt idx="0">
                  <c:v>Action</c:v>
                </c:pt>
                <c:pt idx="1">
                  <c:v>RPG</c:v>
                </c:pt>
                <c:pt idx="2">
                  <c:v>Simulation</c:v>
                </c:pt>
                <c:pt idx="3">
                  <c:v>Sports</c:v>
                </c:pt>
                <c:pt idx="4">
                  <c:v>Strategy</c:v>
                </c:pt>
                <c:pt idx="5">
                  <c:v>Grand Total</c:v>
                </c:pt>
              </c:strCache>
            </c:strRef>
          </c:cat>
          <c:val>
            <c:numRef>
              <c:f>'Pivot Tabel'!$C$7:$C$12</c:f>
              <c:numCache>
                <c:formatCode>General</c:formatCode>
                <c:ptCount val="6"/>
                <c:pt idx="0">
                  <c:v>9</c:v>
                </c:pt>
                <c:pt idx="1">
                  <c:v>20</c:v>
                </c:pt>
                <c:pt idx="2">
                  <c:v>19</c:v>
                </c:pt>
                <c:pt idx="3">
                  <c:v>22</c:v>
                </c:pt>
                <c:pt idx="4">
                  <c:v>19</c:v>
                </c:pt>
                <c:pt idx="5">
                  <c:v>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5A-458E-9003-9297207D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4981900"/>
        <c:axId val="1610540275"/>
      </c:barChart>
      <c:catAx>
        <c:axId val="2094981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Game 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10540275"/>
        <c:crosses val="autoZero"/>
        <c:auto val="1"/>
        <c:lblAlgn val="ctr"/>
        <c:lblOffset val="100"/>
        <c:noMultiLvlLbl val="1"/>
      </c:catAx>
      <c:valAx>
        <c:axId val="1610540275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D" sz="1000" b="0" i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4981900"/>
        <c:crosses val="autoZero"/>
        <c:crossBetween val="between"/>
        <c:majorUnit val="25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9525</xdr:rowOff>
    </xdr:from>
    <xdr:ext cx="6172200" cy="2876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0</xdr:row>
      <xdr:rowOff>190500</xdr:rowOff>
    </xdr:from>
    <xdr:ext cx="5867400" cy="36290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CER" refreshedDate="45862.603210185189" refreshedVersion="7" recordCount="150" xr:uid="{00000000-000A-0000-FFFF-FFFF00000000}">
  <cacheSource type="worksheet">
    <worksheetSource ref="A1:M151" sheet="Sheet1"/>
  </cacheSource>
  <cacheFields count="13">
    <cacheField name="PlayerID" numFmtId="0">
      <sharedItems containsSemiMixedTypes="0" containsString="0" containsNumber="1" containsInteger="1" minValue="9000" maxValue="9149"/>
    </cacheField>
    <cacheField name="Age" numFmtId="0">
      <sharedItems containsSemiMixedTypes="0" containsString="0" containsNumber="1" containsInteger="1" minValue="15" maxValue="49"/>
    </cacheField>
    <cacheField name="Gender" numFmtId="0">
      <sharedItems count="2">
        <s v="Male"/>
        <s v="Female"/>
      </sharedItems>
    </cacheField>
    <cacheField name="Location" numFmtId="0">
      <sharedItems/>
    </cacheField>
    <cacheField name="GameGenre" numFmtId="0">
      <sharedItems count="5">
        <s v="Strategy"/>
        <s v="Sports"/>
        <s v="Action"/>
        <s v="RPG"/>
        <s v="Simulation"/>
      </sharedItems>
    </cacheField>
    <cacheField name="PlayTimeHours" numFmtId="1">
      <sharedItems containsSemiMixedTypes="0" containsString="0" containsNumber="1" minValue="0.87" maxValue="23.94"/>
    </cacheField>
    <cacheField name="InGamePurchases" numFmtId="0">
      <sharedItems containsSemiMixedTypes="0" containsString="0" containsNumber="1" containsInteger="1" minValue="0" maxValue="1"/>
    </cacheField>
    <cacheField name="GameDifficulty" numFmtId="0">
      <sharedItems/>
    </cacheField>
    <cacheField name="SessionsPerWeek" numFmtId="0">
      <sharedItems containsSemiMixedTypes="0" containsString="0" containsNumber="1" containsInteger="1" minValue="0" maxValue="19"/>
    </cacheField>
    <cacheField name="AvgSessionDurationMinutes" numFmtId="0">
      <sharedItems containsSemiMixedTypes="0" containsString="0" containsNumber="1" containsInteger="1" minValue="12" maxValue="177"/>
    </cacheField>
    <cacheField name="PlayerLevel" numFmtId="0">
      <sharedItems containsSemiMixedTypes="0" containsString="0" containsNumber="1" containsInteger="1" minValue="1" maxValue="99"/>
    </cacheField>
    <cacheField name="AchievementsUnlocked" numFmtId="0">
      <sharedItems containsSemiMixedTypes="0" containsString="0" containsNumber="1" containsInteger="1" minValue="0" maxValue="49"/>
    </cacheField>
    <cacheField name="EngagementLeve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n v="9000"/>
    <n v="43"/>
    <x v="0"/>
    <s v="Other"/>
    <x v="0"/>
    <n v="16.27"/>
    <n v="0"/>
    <s v="Medium"/>
    <n v="6"/>
    <n v="108"/>
    <n v="79"/>
    <n v="25"/>
    <s v="Medium"/>
  </r>
  <r>
    <n v="9001"/>
    <n v="29"/>
    <x v="1"/>
    <s v="USA"/>
    <x v="0"/>
    <n v="5.52"/>
    <n v="0"/>
    <s v="Medium"/>
    <n v="5"/>
    <n v="144"/>
    <n v="11"/>
    <n v="10"/>
    <s v="Medium"/>
  </r>
  <r>
    <n v="9002"/>
    <n v="22"/>
    <x v="1"/>
    <s v="USA"/>
    <x v="1"/>
    <n v="8.2200000000000006"/>
    <n v="0"/>
    <s v="Easy"/>
    <n v="16"/>
    <n v="142"/>
    <n v="35"/>
    <n v="41"/>
    <s v="High"/>
  </r>
  <r>
    <n v="9003"/>
    <n v="35"/>
    <x v="0"/>
    <s v="USA"/>
    <x v="2"/>
    <n v="5.26"/>
    <n v="1"/>
    <s v="Easy"/>
    <n v="9"/>
    <n v="85"/>
    <n v="57"/>
    <n v="47"/>
    <s v="Medium"/>
  </r>
  <r>
    <n v="9004"/>
    <n v="33"/>
    <x v="0"/>
    <s v="Europe"/>
    <x v="2"/>
    <n v="15.53"/>
    <n v="0"/>
    <s v="Medium"/>
    <n v="2"/>
    <n v="131"/>
    <n v="95"/>
    <n v="37"/>
    <s v="Medium"/>
  </r>
  <r>
    <n v="9005"/>
    <n v="37"/>
    <x v="0"/>
    <s v="Europe"/>
    <x v="3"/>
    <n v="20.56"/>
    <n v="0"/>
    <s v="Easy"/>
    <n v="2"/>
    <n v="81"/>
    <n v="74"/>
    <n v="22"/>
    <s v="Low"/>
  </r>
  <r>
    <n v="9006"/>
    <n v="25"/>
    <x v="0"/>
    <s v="USA"/>
    <x v="2"/>
    <n v="9.75"/>
    <n v="0"/>
    <s v="Hard"/>
    <n v="1"/>
    <n v="50"/>
    <n v="13"/>
    <n v="2"/>
    <s v="Low"/>
  </r>
  <r>
    <n v="9007"/>
    <n v="25"/>
    <x v="1"/>
    <s v="Asia"/>
    <x v="3"/>
    <n v="4.4000000000000004"/>
    <n v="0"/>
    <s v="Medium"/>
    <n v="10"/>
    <n v="48"/>
    <n v="27"/>
    <n v="23"/>
    <s v="Medium"/>
  </r>
  <r>
    <n v="9008"/>
    <n v="38"/>
    <x v="1"/>
    <s v="Europe"/>
    <x v="4"/>
    <n v="18.149999999999999"/>
    <n v="0"/>
    <s v="Easy"/>
    <n v="5"/>
    <n v="101"/>
    <n v="23"/>
    <n v="41"/>
    <s v="Medium"/>
  </r>
  <r>
    <n v="9009"/>
    <n v="38"/>
    <x v="1"/>
    <s v="Other"/>
    <x v="1"/>
    <n v="23.94"/>
    <n v="0"/>
    <s v="Easy"/>
    <n v="13"/>
    <n v="95"/>
    <n v="99"/>
    <n v="36"/>
    <s v="High"/>
  </r>
  <r>
    <n v="9010"/>
    <n v="17"/>
    <x v="0"/>
    <s v="USA"/>
    <x v="0"/>
    <n v="4.82"/>
    <n v="0"/>
    <s v="Hard"/>
    <n v="8"/>
    <n v="95"/>
    <n v="14"/>
    <n v="12"/>
    <s v="High"/>
  </r>
  <r>
    <n v="9011"/>
    <n v="36"/>
    <x v="1"/>
    <s v="Asia"/>
    <x v="4"/>
    <n v="5.53"/>
    <n v="1"/>
    <s v="Easy"/>
    <n v="16"/>
    <n v="124"/>
    <n v="62"/>
    <n v="31"/>
    <s v="High"/>
  </r>
  <r>
    <n v="9012"/>
    <n v="16"/>
    <x v="0"/>
    <s v="USA"/>
    <x v="1"/>
    <n v="18.77"/>
    <n v="1"/>
    <s v="Easy"/>
    <n v="9"/>
    <n v="18"/>
    <n v="52"/>
    <n v="32"/>
    <s v="High"/>
  </r>
  <r>
    <n v="9013"/>
    <n v="38"/>
    <x v="1"/>
    <s v="USA"/>
    <x v="0"/>
    <n v="8.6999999999999993"/>
    <n v="0"/>
    <s v="Easy"/>
    <n v="0"/>
    <n v="156"/>
    <n v="33"/>
    <n v="47"/>
    <s v="Low"/>
  </r>
  <r>
    <n v="9014"/>
    <n v="44"/>
    <x v="0"/>
    <s v="USA"/>
    <x v="4"/>
    <n v="17.97"/>
    <n v="0"/>
    <s v="Easy"/>
    <n v="8"/>
    <n v="41"/>
    <n v="98"/>
    <n v="1"/>
    <s v="Low"/>
  </r>
  <r>
    <n v="9015"/>
    <n v="16"/>
    <x v="0"/>
    <s v="Europe"/>
    <x v="3"/>
    <n v="7.95"/>
    <n v="0"/>
    <s v="Medium"/>
    <n v="10"/>
    <n v="156"/>
    <n v="58"/>
    <n v="24"/>
    <s v="High"/>
  </r>
  <r>
    <n v="9016"/>
    <n v="35"/>
    <x v="0"/>
    <s v="Asia"/>
    <x v="0"/>
    <n v="17.88"/>
    <n v="0"/>
    <s v="Easy"/>
    <n v="16"/>
    <n v="154"/>
    <n v="62"/>
    <n v="4"/>
    <s v="High"/>
  </r>
  <r>
    <n v="9017"/>
    <n v="47"/>
    <x v="0"/>
    <s v="USA"/>
    <x v="3"/>
    <n v="17.271999999999998"/>
    <n v="0"/>
    <s v="Medium"/>
    <n v="2"/>
    <n v="131"/>
    <n v="13"/>
    <n v="9"/>
    <s v="Low"/>
  </r>
  <r>
    <n v="9018"/>
    <n v="26"/>
    <x v="1"/>
    <s v="Asia"/>
    <x v="2"/>
    <n v="19.41"/>
    <n v="0"/>
    <s v="Easy"/>
    <n v="3"/>
    <n v="135"/>
    <n v="77"/>
    <n v="25"/>
    <s v="Medium"/>
  </r>
  <r>
    <n v="9019"/>
    <n v="36"/>
    <x v="1"/>
    <s v="Asia"/>
    <x v="3"/>
    <n v="19.329999999999998"/>
    <n v="0"/>
    <s v="Easy"/>
    <n v="4"/>
    <n v="56"/>
    <n v="21"/>
    <n v="30"/>
    <s v="Low"/>
  </r>
  <r>
    <n v="9020"/>
    <n v="39"/>
    <x v="1"/>
    <s v="USA"/>
    <x v="1"/>
    <n v="1.722"/>
    <n v="0"/>
    <s v="Easy"/>
    <n v="2"/>
    <n v="177"/>
    <n v="34"/>
    <n v="37"/>
    <s v="Medium"/>
  </r>
  <r>
    <n v="9021"/>
    <n v="41"/>
    <x v="1"/>
    <s v="USA"/>
    <x v="1"/>
    <n v="16.16"/>
    <n v="0"/>
    <s v="Easy"/>
    <n v="18"/>
    <n v="159"/>
    <n v="36"/>
    <n v="33"/>
    <s v="High"/>
  </r>
  <r>
    <n v="9022"/>
    <n v="42"/>
    <x v="0"/>
    <s v="USA"/>
    <x v="1"/>
    <n v="10.44"/>
    <n v="0"/>
    <s v="Medium"/>
    <n v="2"/>
    <n v="120"/>
    <n v="81"/>
    <n v="5"/>
    <s v="Low"/>
  </r>
  <r>
    <n v="9023"/>
    <n v="30"/>
    <x v="0"/>
    <s v="Europe"/>
    <x v="0"/>
    <n v="17.95"/>
    <n v="0"/>
    <s v="Easy"/>
    <n v="14"/>
    <n v="117"/>
    <n v="40"/>
    <n v="19"/>
    <s v="High"/>
  </r>
  <r>
    <n v="9024"/>
    <n v="29"/>
    <x v="0"/>
    <s v="Europe"/>
    <x v="1"/>
    <n v="22.56"/>
    <n v="0"/>
    <s v="Medium"/>
    <n v="12"/>
    <n v="161"/>
    <n v="1"/>
    <n v="22"/>
    <s v="High"/>
  </r>
  <r>
    <n v="9025"/>
    <n v="17"/>
    <x v="1"/>
    <s v="USA"/>
    <x v="1"/>
    <n v="10.311"/>
    <n v="0"/>
    <s v="Hard"/>
    <n v="4"/>
    <n v="82"/>
    <n v="1"/>
    <n v="7"/>
    <s v="Medium"/>
  </r>
  <r>
    <n v="9026"/>
    <n v="21"/>
    <x v="0"/>
    <s v="USA"/>
    <x v="0"/>
    <n v="4.8899999999999997"/>
    <n v="0"/>
    <s v="Medium"/>
    <n v="12"/>
    <n v="118"/>
    <n v="71"/>
    <n v="26"/>
    <s v="High"/>
  </r>
  <r>
    <n v="9027"/>
    <n v="35"/>
    <x v="0"/>
    <s v="USA"/>
    <x v="1"/>
    <n v="14.59"/>
    <n v="0"/>
    <s v="Easy"/>
    <n v="18"/>
    <n v="177"/>
    <n v="59"/>
    <n v="18"/>
    <s v="High"/>
  </r>
  <r>
    <n v="9028"/>
    <n v="23"/>
    <x v="0"/>
    <s v="Europe"/>
    <x v="4"/>
    <n v="3.21"/>
    <n v="0"/>
    <s v="Easy"/>
    <n v="14"/>
    <n v="57"/>
    <n v="2"/>
    <n v="1"/>
    <s v="Medium"/>
  </r>
  <r>
    <n v="9029"/>
    <n v="32"/>
    <x v="1"/>
    <s v="USA"/>
    <x v="1"/>
    <n v="4.12"/>
    <n v="0"/>
    <s v="Easy"/>
    <n v="1"/>
    <n v="155"/>
    <n v="85"/>
    <n v="37"/>
    <s v="Low"/>
  </r>
  <r>
    <n v="9030"/>
    <n v="18"/>
    <x v="1"/>
    <s v="Asia"/>
    <x v="4"/>
    <n v="22.85"/>
    <n v="0"/>
    <s v="Easy"/>
    <n v="3"/>
    <n v="67"/>
    <n v="35"/>
    <n v="2"/>
    <s v="Low"/>
  </r>
  <r>
    <n v="9031"/>
    <n v="39"/>
    <x v="0"/>
    <s v="USA"/>
    <x v="1"/>
    <n v="3.37"/>
    <n v="1"/>
    <s v="Easy"/>
    <n v="5"/>
    <n v="70"/>
    <n v="50"/>
    <n v="11"/>
    <s v="Medium"/>
  </r>
  <r>
    <n v="9032"/>
    <n v="28"/>
    <x v="1"/>
    <s v="Europe"/>
    <x v="2"/>
    <n v="14.52"/>
    <n v="0"/>
    <s v="Hard"/>
    <n v="0"/>
    <n v="127"/>
    <n v="48"/>
    <n v="48"/>
    <s v="Low"/>
  </r>
  <r>
    <n v="9033"/>
    <n v="23"/>
    <x v="0"/>
    <s v="USA"/>
    <x v="4"/>
    <n v="18.96"/>
    <n v="0"/>
    <s v="Hard"/>
    <n v="19"/>
    <n v="48"/>
    <n v="62"/>
    <n v="42"/>
    <s v="Medium"/>
  </r>
  <r>
    <n v="9034"/>
    <n v="40"/>
    <x v="0"/>
    <s v="USA"/>
    <x v="0"/>
    <n v="11.72"/>
    <n v="0"/>
    <s v="Hard"/>
    <n v="0"/>
    <n v="120"/>
    <n v="24"/>
    <n v="18"/>
    <s v="Low"/>
  </r>
  <r>
    <n v="9035"/>
    <n v="16"/>
    <x v="1"/>
    <s v="USA"/>
    <x v="3"/>
    <n v="17.489999999999998"/>
    <n v="0"/>
    <s v="Medium"/>
    <n v="18"/>
    <n v="166"/>
    <n v="24"/>
    <n v="17"/>
    <s v="High"/>
  </r>
  <r>
    <n v="9036"/>
    <n v="34"/>
    <x v="0"/>
    <s v="Europe"/>
    <x v="2"/>
    <n v="13.77"/>
    <n v="0"/>
    <s v="Hard"/>
    <n v="19"/>
    <n v="28"/>
    <n v="79"/>
    <n v="41"/>
    <s v="Medium"/>
  </r>
  <r>
    <n v="9037"/>
    <n v="42"/>
    <x v="0"/>
    <s v="USA"/>
    <x v="0"/>
    <n v="3.95"/>
    <n v="0"/>
    <s v="Medium"/>
    <n v="17"/>
    <n v="61"/>
    <n v="26"/>
    <n v="26"/>
    <s v="Medium"/>
  </r>
  <r>
    <n v="9038"/>
    <n v="21"/>
    <x v="1"/>
    <s v="Europe"/>
    <x v="2"/>
    <n v="1.9"/>
    <n v="0"/>
    <s v="Medium"/>
    <n v="11"/>
    <n v="112"/>
    <n v="14"/>
    <n v="0"/>
    <s v="Medium"/>
  </r>
  <r>
    <n v="9039"/>
    <n v="22"/>
    <x v="1"/>
    <s v="Europe"/>
    <x v="1"/>
    <n v="5.56"/>
    <n v="0"/>
    <s v="Hard"/>
    <n v="3"/>
    <n v="116"/>
    <n v="52"/>
    <n v="44"/>
    <s v="Medium"/>
  </r>
  <r>
    <n v="9040"/>
    <n v="49"/>
    <x v="1"/>
    <s v="Europe"/>
    <x v="0"/>
    <n v="13.71"/>
    <n v="1"/>
    <s v="Medium"/>
    <n v="15"/>
    <n v="43"/>
    <n v="93"/>
    <n v="29"/>
    <s v="Medium"/>
  </r>
  <r>
    <n v="9041"/>
    <n v="28"/>
    <x v="0"/>
    <s v="Other"/>
    <x v="3"/>
    <n v="12.28"/>
    <n v="0"/>
    <s v="Medium"/>
    <n v="4"/>
    <n v="151"/>
    <n v="76"/>
    <n v="35"/>
    <s v="Medium"/>
  </r>
  <r>
    <n v="9042"/>
    <n v="31"/>
    <x v="0"/>
    <s v="USA"/>
    <x v="2"/>
    <n v="2.2400000000000002"/>
    <n v="0"/>
    <s v="Medium"/>
    <n v="15"/>
    <n v="68"/>
    <n v="88"/>
    <n v="39"/>
    <s v="Medium"/>
  </r>
  <r>
    <n v="9043"/>
    <n v="18"/>
    <x v="0"/>
    <s v="Other"/>
    <x v="3"/>
    <n v="13.15"/>
    <n v="0"/>
    <s v="Medium"/>
    <n v="12"/>
    <n v="115"/>
    <n v="98"/>
    <n v="7"/>
    <s v="Medium"/>
  </r>
  <r>
    <n v="9044"/>
    <n v="16"/>
    <x v="1"/>
    <s v="Europe"/>
    <x v="2"/>
    <n v="2.61"/>
    <n v="0"/>
    <s v="Easy"/>
    <n v="14"/>
    <n v="149"/>
    <n v="10"/>
    <n v="34"/>
    <s v="High"/>
  </r>
  <r>
    <n v="9045"/>
    <n v="20"/>
    <x v="0"/>
    <s v="Asia"/>
    <x v="3"/>
    <n v="16.579999999999998"/>
    <n v="0"/>
    <s v="Medium"/>
    <n v="19"/>
    <n v="65"/>
    <n v="34"/>
    <n v="46"/>
    <s v="Medium"/>
  </r>
  <r>
    <n v="9046"/>
    <n v="18"/>
    <x v="0"/>
    <s v="USA"/>
    <x v="3"/>
    <n v="15.65"/>
    <n v="0"/>
    <s v="Easy"/>
    <n v="17"/>
    <n v="176"/>
    <n v="45"/>
    <n v="43"/>
    <s v="High"/>
  </r>
  <r>
    <n v="9047"/>
    <n v="43"/>
    <x v="0"/>
    <s v="USA"/>
    <x v="0"/>
    <n v="1.59"/>
    <n v="0"/>
    <s v="Medium"/>
    <n v="3"/>
    <n v="31"/>
    <n v="73"/>
    <n v="49"/>
    <s v="Low"/>
  </r>
  <r>
    <n v="9048"/>
    <n v="32"/>
    <x v="1"/>
    <s v="USA"/>
    <x v="1"/>
    <n v="11.19"/>
    <n v="0"/>
    <s v="Easy"/>
    <n v="19"/>
    <n v="77"/>
    <n v="51"/>
    <n v="38"/>
    <s v="High"/>
  </r>
  <r>
    <n v="9049"/>
    <n v="40"/>
    <x v="0"/>
    <s v="Europe"/>
    <x v="1"/>
    <n v="17.059999999999999"/>
    <n v="0"/>
    <s v="Hard"/>
    <n v="8"/>
    <n v="94"/>
    <n v="31"/>
    <n v="13"/>
    <s v="Medium"/>
  </r>
  <r>
    <n v="9050"/>
    <n v="48"/>
    <x v="0"/>
    <s v="Other"/>
    <x v="3"/>
    <n v="19.21"/>
    <n v="0"/>
    <s v="Hard"/>
    <n v="3"/>
    <n v="146"/>
    <n v="22"/>
    <n v="32"/>
    <s v="Medium"/>
  </r>
  <r>
    <n v="9051"/>
    <n v="24"/>
    <x v="0"/>
    <s v="USA"/>
    <x v="1"/>
    <n v="0.87"/>
    <n v="0"/>
    <s v="Medium"/>
    <n v="8"/>
    <n v="45"/>
    <n v="19"/>
    <n v="21"/>
    <s v="High"/>
  </r>
  <r>
    <n v="9052"/>
    <n v="28"/>
    <x v="0"/>
    <s v="Europe"/>
    <x v="4"/>
    <n v="11.21"/>
    <n v="0"/>
    <s v="Easy"/>
    <n v="8"/>
    <n v="134"/>
    <n v="64"/>
    <n v="25"/>
    <s v="Medium"/>
  </r>
  <r>
    <n v="9053"/>
    <n v="45"/>
    <x v="0"/>
    <s v="Europe"/>
    <x v="4"/>
    <n v="23.7"/>
    <n v="1"/>
    <s v="Easy"/>
    <n v="1"/>
    <n v="50"/>
    <n v="95"/>
    <n v="26"/>
    <s v="Low"/>
  </r>
  <r>
    <n v="9054"/>
    <n v="29"/>
    <x v="0"/>
    <s v="Europe"/>
    <x v="3"/>
    <n v="9.2100000000000009"/>
    <n v="1"/>
    <s v="Easy"/>
    <n v="15"/>
    <n v="171"/>
    <n v="6"/>
    <n v="16"/>
    <s v="High"/>
  </r>
  <r>
    <n v="9055"/>
    <n v="22"/>
    <x v="1"/>
    <s v="USA"/>
    <x v="3"/>
    <n v="12.88"/>
    <n v="1"/>
    <s v="Easy"/>
    <n v="8"/>
    <n v="46"/>
    <n v="8"/>
    <n v="0"/>
    <s v="Medium"/>
  </r>
  <r>
    <n v="9056"/>
    <n v="28"/>
    <x v="0"/>
    <s v="USA"/>
    <x v="4"/>
    <n v="7.18"/>
    <n v="0"/>
    <s v="Easy"/>
    <n v="8"/>
    <n v="139"/>
    <n v="20"/>
    <n v="1"/>
    <s v="Medium"/>
  </r>
  <r>
    <n v="9057"/>
    <n v="37"/>
    <x v="0"/>
    <s v="USA"/>
    <x v="4"/>
    <n v="1.32"/>
    <n v="1"/>
    <s v="Easy"/>
    <n v="15"/>
    <n v="36"/>
    <n v="88"/>
    <n v="36"/>
    <s v="Medium"/>
  </r>
  <r>
    <n v="9058"/>
    <n v="35"/>
    <x v="0"/>
    <s v="USA"/>
    <x v="4"/>
    <n v="21.68"/>
    <n v="0"/>
    <s v="Easy"/>
    <n v="15"/>
    <n v="148"/>
    <n v="73"/>
    <n v="43"/>
    <s v="High"/>
  </r>
  <r>
    <n v="9059"/>
    <n v="30"/>
    <x v="1"/>
    <s v="USA"/>
    <x v="0"/>
    <n v="15.15"/>
    <n v="0"/>
    <s v="Easy"/>
    <n v="9"/>
    <n v="153"/>
    <n v="46"/>
    <n v="19"/>
    <s v="Medium"/>
  </r>
  <r>
    <n v="9060"/>
    <n v="32"/>
    <x v="0"/>
    <s v="USA"/>
    <x v="2"/>
    <n v="12.55"/>
    <n v="0"/>
    <s v="Hard"/>
    <n v="11"/>
    <n v="138"/>
    <n v="27"/>
    <n v="13"/>
    <s v="High"/>
  </r>
  <r>
    <n v="9061"/>
    <n v="38"/>
    <x v="1"/>
    <s v="USA"/>
    <x v="0"/>
    <n v="19.46"/>
    <n v="0"/>
    <s v="Medium"/>
    <n v="19"/>
    <n v="155"/>
    <n v="35"/>
    <n v="30"/>
    <s v="High"/>
  </r>
  <r>
    <n v="9062"/>
    <n v="40"/>
    <x v="1"/>
    <s v="Europe"/>
    <x v="4"/>
    <n v="3.52"/>
    <n v="0"/>
    <s v="Easy"/>
    <n v="2"/>
    <n v="94"/>
    <n v="76"/>
    <n v="42"/>
    <s v="Medium"/>
  </r>
  <r>
    <n v="9063"/>
    <n v="39"/>
    <x v="0"/>
    <s v="Other"/>
    <x v="2"/>
    <n v="20.85"/>
    <n v="0"/>
    <s v="Hard"/>
    <n v="16"/>
    <n v="140"/>
    <n v="10"/>
    <n v="16"/>
    <s v="High"/>
  </r>
  <r>
    <n v="9064"/>
    <n v="43"/>
    <x v="0"/>
    <s v="Other"/>
    <x v="1"/>
    <n v="14.62"/>
    <n v="0"/>
    <s v="Easy"/>
    <n v="1"/>
    <n v="16"/>
    <n v="38"/>
    <n v="43"/>
    <s v="Low"/>
  </r>
  <r>
    <n v="9065"/>
    <n v="29"/>
    <x v="1"/>
    <s v="USA"/>
    <x v="4"/>
    <n v="17"/>
    <n v="1"/>
    <s v="Easy"/>
    <n v="16"/>
    <n v="135"/>
    <n v="80"/>
    <n v="43"/>
    <s v="High"/>
  </r>
  <r>
    <n v="9066"/>
    <n v="15"/>
    <x v="1"/>
    <s v="USA"/>
    <x v="4"/>
    <n v="14.89"/>
    <n v="0"/>
    <s v="Easy"/>
    <n v="6"/>
    <n v="49"/>
    <n v="58"/>
    <n v="42"/>
    <s v="Medium"/>
  </r>
  <r>
    <n v="9067"/>
    <n v="39"/>
    <x v="1"/>
    <s v="Other"/>
    <x v="1"/>
    <n v="19.75"/>
    <n v="0"/>
    <s v="Medium"/>
    <n v="7"/>
    <n v="46"/>
    <n v="26"/>
    <n v="47"/>
    <s v="Medium"/>
  </r>
  <r>
    <n v="9068"/>
    <n v="21"/>
    <x v="1"/>
    <s v="Europe"/>
    <x v="2"/>
    <n v="19.02"/>
    <n v="0"/>
    <s v="Easy"/>
    <n v="13"/>
    <n v="30"/>
    <n v="3"/>
    <n v="40"/>
    <s v="Medium"/>
  </r>
  <r>
    <n v="9069"/>
    <n v="23"/>
    <x v="0"/>
    <s v="Other"/>
    <x v="4"/>
    <n v="13.72"/>
    <n v="1"/>
    <s v="Medium"/>
    <n v="17"/>
    <n v="167"/>
    <n v="72"/>
    <n v="24"/>
    <s v="High"/>
  </r>
  <r>
    <n v="9070"/>
    <n v="38"/>
    <x v="1"/>
    <s v="Europe"/>
    <x v="2"/>
    <n v="20.16"/>
    <n v="0"/>
    <s v="Easy"/>
    <n v="13"/>
    <n v="79"/>
    <n v="29"/>
    <n v="32"/>
    <s v="Medium"/>
  </r>
  <r>
    <n v="9071"/>
    <n v="15"/>
    <x v="0"/>
    <s v="Asia"/>
    <x v="0"/>
    <n v="18.850000000000001"/>
    <n v="0"/>
    <s v="Medium"/>
    <n v="7"/>
    <n v="111"/>
    <n v="45"/>
    <n v="2"/>
    <s v="Medium"/>
  </r>
  <r>
    <n v="9072"/>
    <n v="22"/>
    <x v="0"/>
    <s v="Europe"/>
    <x v="3"/>
    <n v="12.08"/>
    <n v="1"/>
    <s v="Easy"/>
    <n v="7"/>
    <n v="79"/>
    <n v="46"/>
    <n v="32"/>
    <s v="Medium"/>
  </r>
  <r>
    <n v="9073"/>
    <n v="38"/>
    <x v="1"/>
    <s v="Europe"/>
    <x v="0"/>
    <n v="2.2599999999999998"/>
    <n v="0"/>
    <s v="Medium"/>
    <n v="12"/>
    <n v="131"/>
    <n v="12"/>
    <n v="37"/>
    <s v="High"/>
  </r>
  <r>
    <n v="9074"/>
    <n v="25"/>
    <x v="0"/>
    <s v="Europe"/>
    <x v="3"/>
    <n v="20.818999999999999"/>
    <n v="1"/>
    <s v="Easy"/>
    <n v="19"/>
    <n v="109"/>
    <n v="91"/>
    <n v="48"/>
    <s v="High"/>
  </r>
  <r>
    <n v="9075"/>
    <n v="31"/>
    <x v="0"/>
    <s v="USA"/>
    <x v="4"/>
    <n v="9"/>
    <n v="0"/>
    <s v="Easy"/>
    <n v="14"/>
    <n v="106"/>
    <n v="23"/>
    <n v="1"/>
    <s v="High"/>
  </r>
  <r>
    <n v="9076"/>
    <n v="22"/>
    <x v="0"/>
    <s v="Asia"/>
    <x v="0"/>
    <n v="19.66"/>
    <n v="1"/>
    <s v="Medium"/>
    <n v="3"/>
    <n v="29"/>
    <n v="9"/>
    <n v="30"/>
    <s v="Low"/>
  </r>
  <r>
    <n v="9077"/>
    <n v="49"/>
    <x v="0"/>
    <s v="USA"/>
    <x v="0"/>
    <n v="18.53"/>
    <n v="1"/>
    <s v="Easy"/>
    <n v="0"/>
    <n v="83"/>
    <n v="15"/>
    <n v="4"/>
    <s v="Low"/>
  </r>
  <r>
    <n v="9078"/>
    <n v="49"/>
    <x v="1"/>
    <s v="USA"/>
    <x v="1"/>
    <n v="2.04"/>
    <n v="1"/>
    <s v="Easy"/>
    <n v="12"/>
    <n v="70"/>
    <n v="33"/>
    <n v="33"/>
    <s v="Medium"/>
  </r>
  <r>
    <n v="9079"/>
    <n v="47"/>
    <x v="0"/>
    <s v="Asia"/>
    <x v="3"/>
    <n v="6.53"/>
    <n v="0"/>
    <s v="Easy"/>
    <n v="10"/>
    <n v="14"/>
    <n v="15"/>
    <n v="25"/>
    <s v="Low"/>
  </r>
  <r>
    <n v="9080"/>
    <n v="19"/>
    <x v="1"/>
    <s v="Europe"/>
    <x v="3"/>
    <n v="19.86"/>
    <n v="1"/>
    <s v="Easy"/>
    <n v="1"/>
    <n v="139"/>
    <n v="24"/>
    <n v="0"/>
    <s v="Low"/>
  </r>
  <r>
    <n v="9081"/>
    <n v="42"/>
    <x v="0"/>
    <s v="USA"/>
    <x v="4"/>
    <n v="13.98"/>
    <n v="0"/>
    <s v="Medium"/>
    <n v="12"/>
    <n v="34"/>
    <n v="14"/>
    <n v="15"/>
    <s v="Medium"/>
  </r>
  <r>
    <n v="9082"/>
    <n v="21"/>
    <x v="0"/>
    <s v="USA"/>
    <x v="1"/>
    <n v="7.74"/>
    <n v="0"/>
    <s v="Easy"/>
    <n v="5"/>
    <n v="77"/>
    <n v="40"/>
    <n v="38"/>
    <s v="Medium"/>
  </r>
  <r>
    <n v="9083"/>
    <n v="23"/>
    <x v="0"/>
    <s v="USA"/>
    <x v="1"/>
    <n v="3.79"/>
    <n v="1"/>
    <s v="Easy"/>
    <n v="12"/>
    <n v="41"/>
    <n v="73"/>
    <n v="10"/>
    <s v="Medium"/>
  </r>
  <r>
    <n v="9084"/>
    <n v="22"/>
    <x v="0"/>
    <s v="USA"/>
    <x v="3"/>
    <n v="10.39"/>
    <n v="0"/>
    <s v="Easy"/>
    <n v="19"/>
    <n v="102"/>
    <n v="14"/>
    <n v="24"/>
    <s v="High"/>
  </r>
  <r>
    <n v="9085"/>
    <n v="26"/>
    <x v="0"/>
    <s v="USA"/>
    <x v="1"/>
    <n v="15.07"/>
    <n v="0"/>
    <s v="Medium"/>
    <n v="4"/>
    <n v="117"/>
    <n v="4"/>
    <n v="49"/>
    <s v="Medium"/>
  </r>
  <r>
    <n v="9086"/>
    <n v="48"/>
    <x v="1"/>
    <s v="Asia"/>
    <x v="2"/>
    <n v="8.4499999999999993"/>
    <n v="1"/>
    <s v="Easy"/>
    <n v="3"/>
    <n v="122"/>
    <n v="89"/>
    <n v="24"/>
    <s v="Medium"/>
  </r>
  <r>
    <n v="9087"/>
    <n v="47"/>
    <x v="0"/>
    <s v="Europe"/>
    <x v="4"/>
    <n v="14.43"/>
    <n v="0"/>
    <s v="Hard"/>
    <n v="18"/>
    <n v="14"/>
    <n v="78"/>
    <n v="4"/>
    <s v="Low"/>
  </r>
  <r>
    <n v="9088"/>
    <n v="37"/>
    <x v="0"/>
    <s v="USA"/>
    <x v="0"/>
    <n v="19.5"/>
    <n v="0"/>
    <s v="Medium"/>
    <n v="11"/>
    <n v="147"/>
    <n v="40"/>
    <n v="49"/>
    <s v="High"/>
  </r>
  <r>
    <n v="9089"/>
    <n v="38"/>
    <x v="0"/>
    <s v="Europe"/>
    <x v="3"/>
    <n v="6.49"/>
    <n v="1"/>
    <s v="Medium"/>
    <n v="8"/>
    <n v="107"/>
    <n v="11"/>
    <n v="7"/>
    <s v="Medium"/>
  </r>
  <r>
    <n v="9090"/>
    <n v="49"/>
    <x v="0"/>
    <s v="USA"/>
    <x v="1"/>
    <n v="2.14"/>
    <n v="0"/>
    <s v="Medium"/>
    <n v="14"/>
    <n v="36"/>
    <n v="59"/>
    <n v="35"/>
    <s v="Medium"/>
  </r>
  <r>
    <n v="9091"/>
    <n v="36"/>
    <x v="0"/>
    <s v="USA"/>
    <x v="1"/>
    <n v="4.3099999999999996"/>
    <n v="0"/>
    <s v="Easy"/>
    <n v="1"/>
    <n v="73"/>
    <n v="76"/>
    <n v="15"/>
    <s v="Low"/>
  </r>
  <r>
    <n v="9092"/>
    <n v="41"/>
    <x v="1"/>
    <s v="Europe"/>
    <x v="1"/>
    <n v="5.69"/>
    <n v="1"/>
    <s v="Easy"/>
    <n v="7"/>
    <n v="12"/>
    <n v="77"/>
    <n v="28"/>
    <s v="Low"/>
  </r>
  <r>
    <n v="9093"/>
    <n v="49"/>
    <x v="0"/>
    <s v="Asia"/>
    <x v="4"/>
    <n v="3.1"/>
    <n v="0"/>
    <s v="Easy"/>
    <n v="0"/>
    <n v="99"/>
    <n v="80"/>
    <n v="42"/>
    <s v="Low"/>
  </r>
  <r>
    <n v="9094"/>
    <n v="15"/>
    <x v="0"/>
    <s v="Asia"/>
    <x v="0"/>
    <n v="9.74"/>
    <n v="1"/>
    <s v="Hard"/>
    <n v="4"/>
    <n v="32"/>
    <n v="33"/>
    <n v="42"/>
    <s v="Low"/>
  </r>
  <r>
    <n v="9095"/>
    <n v="49"/>
    <x v="0"/>
    <s v="Europe"/>
    <x v="1"/>
    <n v="7.83"/>
    <n v="0"/>
    <s v="Easy"/>
    <n v="19"/>
    <n v="126"/>
    <n v="3"/>
    <n v="14"/>
    <s v="High"/>
  </r>
  <r>
    <n v="9096"/>
    <n v="28"/>
    <x v="0"/>
    <s v="USA"/>
    <x v="0"/>
    <n v="9.1999999999999993"/>
    <n v="1"/>
    <s v="Medium"/>
    <n v="1"/>
    <n v="84"/>
    <n v="61"/>
    <n v="39"/>
    <s v="Low"/>
  </r>
  <r>
    <n v="9097"/>
    <n v="17"/>
    <x v="0"/>
    <s v="Europe"/>
    <x v="0"/>
    <n v="8.6"/>
    <n v="0"/>
    <s v="Easy"/>
    <n v="3"/>
    <n v="117"/>
    <n v="1"/>
    <n v="11"/>
    <s v="Medium"/>
  </r>
  <r>
    <n v="9098"/>
    <n v="15"/>
    <x v="1"/>
    <s v="Europe"/>
    <x v="4"/>
    <n v="5.97"/>
    <n v="0"/>
    <s v="Easy"/>
    <n v="11"/>
    <n v="55"/>
    <n v="54"/>
    <n v="37"/>
    <s v="Medium"/>
  </r>
  <r>
    <n v="9099"/>
    <n v="19"/>
    <x v="1"/>
    <s v="USA"/>
    <x v="1"/>
    <n v="15.37"/>
    <n v="0"/>
    <s v="Hard"/>
    <n v="14"/>
    <n v="93"/>
    <n v="65"/>
    <n v="42"/>
    <s v="High"/>
  </r>
  <r>
    <n v="9100"/>
    <n v="40"/>
    <x v="0"/>
    <s v="Europe"/>
    <x v="1"/>
    <n v="5.8"/>
    <n v="0"/>
    <s v="Medium"/>
    <n v="5"/>
    <n v="40"/>
    <n v="89"/>
    <n v="29"/>
    <s v="Medium"/>
  </r>
  <r>
    <n v="9101"/>
    <n v="28"/>
    <x v="1"/>
    <s v="Europe"/>
    <x v="0"/>
    <n v="22.35"/>
    <n v="0"/>
    <s v="Hard"/>
    <n v="11"/>
    <n v="109"/>
    <n v="53"/>
    <n v="18"/>
    <s v="Medium"/>
  </r>
  <r>
    <n v="9102"/>
    <n v="41"/>
    <x v="0"/>
    <s v="Europe"/>
    <x v="1"/>
    <n v="7.64"/>
    <n v="0"/>
    <s v="Easy"/>
    <n v="2"/>
    <n v="33"/>
    <n v="54"/>
    <n v="33"/>
    <s v="Low"/>
  </r>
  <r>
    <n v="9103"/>
    <n v="23"/>
    <x v="1"/>
    <s v="Europe"/>
    <x v="4"/>
    <n v="22.87"/>
    <n v="0"/>
    <s v="Medium"/>
    <n v="8"/>
    <n v="91"/>
    <n v="38"/>
    <n v="14"/>
    <s v="Medium"/>
  </r>
  <r>
    <n v="9104"/>
    <n v="29"/>
    <x v="1"/>
    <s v="Other"/>
    <x v="1"/>
    <n v="4.55"/>
    <n v="0"/>
    <s v="Easy"/>
    <n v="16"/>
    <n v="36"/>
    <n v="22"/>
    <n v="36"/>
    <s v="Medium"/>
  </r>
  <r>
    <n v="9105"/>
    <n v="29"/>
    <x v="0"/>
    <s v="Europe"/>
    <x v="1"/>
    <n v="2.06"/>
    <n v="1"/>
    <s v="Easy"/>
    <n v="15"/>
    <n v="101"/>
    <n v="73"/>
    <n v="45"/>
    <s v="High"/>
  </r>
  <r>
    <n v="9106"/>
    <n v="40"/>
    <x v="0"/>
    <s v="Asia"/>
    <x v="1"/>
    <n v="7.38"/>
    <n v="0"/>
    <s v="Easy"/>
    <n v="15"/>
    <n v="24"/>
    <n v="56"/>
    <n v="17"/>
    <s v="Medium"/>
  </r>
  <r>
    <n v="9107"/>
    <n v="27"/>
    <x v="0"/>
    <s v="Other"/>
    <x v="4"/>
    <n v="7.73"/>
    <n v="0"/>
    <s v="Hard"/>
    <n v="17"/>
    <n v="72"/>
    <n v="45"/>
    <n v="48"/>
    <s v="Medium"/>
  </r>
  <r>
    <n v="9108"/>
    <n v="46"/>
    <x v="0"/>
    <s v="Asia"/>
    <x v="0"/>
    <n v="19.404"/>
    <n v="1"/>
    <s v="Medium"/>
    <n v="9"/>
    <n v="127"/>
    <n v="75"/>
    <n v="32"/>
    <s v="Medium"/>
  </r>
  <r>
    <n v="9109"/>
    <n v="46"/>
    <x v="0"/>
    <s v="Other"/>
    <x v="0"/>
    <n v="18.55"/>
    <n v="0"/>
    <s v="Easy"/>
    <n v="12"/>
    <n v="96"/>
    <n v="2"/>
    <n v="21"/>
    <s v="Medium"/>
  </r>
  <r>
    <n v="9110"/>
    <n v="18"/>
    <x v="1"/>
    <s v="Asia"/>
    <x v="1"/>
    <n v="4.45"/>
    <n v="0"/>
    <s v="Easy"/>
    <n v="16"/>
    <n v="121"/>
    <n v="10"/>
    <n v="35"/>
    <s v="High"/>
  </r>
  <r>
    <n v="9111"/>
    <n v="44"/>
    <x v="0"/>
    <s v="USA"/>
    <x v="4"/>
    <n v="22.14"/>
    <n v="0"/>
    <s v="Hard"/>
    <n v="7"/>
    <n v="60"/>
    <n v="5"/>
    <n v="30"/>
    <s v="Medium"/>
  </r>
  <r>
    <n v="9112"/>
    <n v="37"/>
    <x v="0"/>
    <s v="USA"/>
    <x v="1"/>
    <n v="8.49"/>
    <n v="0"/>
    <s v="Medium"/>
    <n v="18"/>
    <n v="145"/>
    <n v="88"/>
    <n v="15"/>
    <s v="High"/>
  </r>
  <r>
    <n v="9113"/>
    <n v="29"/>
    <x v="1"/>
    <s v="USA"/>
    <x v="4"/>
    <n v="23.69"/>
    <n v="0"/>
    <s v="Medium"/>
    <n v="3"/>
    <n v="51"/>
    <n v="72"/>
    <n v="44"/>
    <s v="Low"/>
  </r>
  <r>
    <n v="9114"/>
    <n v="43"/>
    <x v="1"/>
    <s v="USA"/>
    <x v="4"/>
    <n v="23.16"/>
    <n v="0"/>
    <s v="Easy"/>
    <n v="14"/>
    <n v="96"/>
    <n v="42"/>
    <n v="47"/>
    <s v="High"/>
  </r>
  <r>
    <n v="9115"/>
    <n v="27"/>
    <x v="0"/>
    <s v="USA"/>
    <x v="0"/>
    <n v="6.54"/>
    <n v="0"/>
    <s v="Hard"/>
    <n v="18"/>
    <n v="111"/>
    <n v="34"/>
    <n v="9"/>
    <s v="High"/>
  </r>
  <r>
    <n v="9116"/>
    <n v="46"/>
    <x v="1"/>
    <s v="Asia"/>
    <x v="2"/>
    <n v="10.82"/>
    <n v="0"/>
    <s v="Medium"/>
    <n v="12"/>
    <n v="142"/>
    <n v="24"/>
    <n v="18"/>
    <s v="High"/>
  </r>
  <r>
    <n v="9117"/>
    <n v="21"/>
    <x v="1"/>
    <s v="USA"/>
    <x v="2"/>
    <n v="20.27"/>
    <n v="1"/>
    <s v="Easy"/>
    <n v="17"/>
    <n v="142"/>
    <n v="12"/>
    <n v="20"/>
    <s v="High"/>
  </r>
  <r>
    <n v="9118"/>
    <n v="36"/>
    <x v="0"/>
    <s v="Asia"/>
    <x v="3"/>
    <n v="7.24"/>
    <n v="0"/>
    <s v="Easy"/>
    <n v="3"/>
    <n v="69"/>
    <n v="52"/>
    <n v="14"/>
    <s v="Low"/>
  </r>
  <r>
    <n v="9119"/>
    <n v="42"/>
    <x v="0"/>
    <s v="Other"/>
    <x v="3"/>
    <n v="10.77"/>
    <n v="0"/>
    <s v="Medium"/>
    <n v="7"/>
    <n v="154"/>
    <n v="23"/>
    <n v="19"/>
    <s v="Medium"/>
  </r>
  <r>
    <n v="9120"/>
    <n v="16"/>
    <x v="1"/>
    <s v="USA"/>
    <x v="2"/>
    <n v="4.5999999999999996"/>
    <n v="1"/>
    <s v="Easy"/>
    <n v="17"/>
    <n v="149"/>
    <n v="48"/>
    <n v="14"/>
    <s v="High"/>
  </r>
  <r>
    <n v="9121"/>
    <n v="20"/>
    <x v="1"/>
    <s v="USA"/>
    <x v="0"/>
    <n v="11.92"/>
    <n v="0"/>
    <s v="Medium"/>
    <n v="11"/>
    <n v="75"/>
    <n v="69"/>
    <n v="25"/>
    <s v="Medium"/>
  </r>
  <r>
    <n v="9122"/>
    <n v="42"/>
    <x v="0"/>
    <s v="Asia"/>
    <x v="3"/>
    <n v="6.56"/>
    <n v="0"/>
    <s v="Hard"/>
    <n v="15"/>
    <n v="17"/>
    <n v="19"/>
    <n v="43"/>
    <s v="Low"/>
  </r>
  <r>
    <n v="9123"/>
    <n v="42"/>
    <x v="0"/>
    <s v="USA"/>
    <x v="2"/>
    <n v="2.73"/>
    <n v="0"/>
    <s v="Medium"/>
    <n v="17"/>
    <n v="62"/>
    <n v="77"/>
    <n v="35"/>
    <s v="Medium"/>
  </r>
  <r>
    <n v="9124"/>
    <n v="34"/>
    <x v="1"/>
    <s v="USA"/>
    <x v="0"/>
    <n v="16.59"/>
    <n v="0"/>
    <s v="Medium"/>
    <n v="13"/>
    <n v="124"/>
    <n v="35"/>
    <n v="43"/>
    <s v="High"/>
  </r>
  <r>
    <n v="9125"/>
    <n v="44"/>
    <x v="1"/>
    <s v="USA"/>
    <x v="3"/>
    <n v="8.58"/>
    <n v="0"/>
    <s v="Medium"/>
    <n v="11"/>
    <n v="34"/>
    <n v="8"/>
    <n v="11"/>
    <s v="Medium"/>
  </r>
  <r>
    <n v="9126"/>
    <n v="25"/>
    <x v="1"/>
    <s v="USA"/>
    <x v="3"/>
    <n v="12.76"/>
    <n v="0"/>
    <s v="Medium"/>
    <n v="7"/>
    <n v="108"/>
    <n v="76"/>
    <n v="1"/>
    <s v="Medium"/>
  </r>
  <r>
    <n v="9127"/>
    <n v="42"/>
    <x v="1"/>
    <s v="Asia"/>
    <x v="2"/>
    <n v="13.29"/>
    <n v="0"/>
    <s v="Easy"/>
    <n v="19"/>
    <n v="157"/>
    <n v="85"/>
    <n v="7"/>
    <s v="High"/>
  </r>
  <r>
    <n v="9128"/>
    <n v="39"/>
    <x v="1"/>
    <s v="Europe"/>
    <x v="3"/>
    <n v="14.17"/>
    <n v="0"/>
    <s v="Easy"/>
    <n v="15"/>
    <n v="108"/>
    <n v="49"/>
    <n v="32"/>
    <s v="High"/>
  </r>
  <r>
    <n v="9129"/>
    <n v="47"/>
    <x v="1"/>
    <s v="USA"/>
    <x v="0"/>
    <n v="18.489999999999998"/>
    <n v="0"/>
    <s v="Easy"/>
    <n v="2"/>
    <n v="65"/>
    <n v="92"/>
    <n v="45"/>
    <s v="Medium"/>
  </r>
  <r>
    <n v="9130"/>
    <n v="15"/>
    <x v="1"/>
    <s v="Europe"/>
    <x v="2"/>
    <n v="17.22"/>
    <n v="1"/>
    <s v="Hard"/>
    <n v="5"/>
    <n v="94"/>
    <n v="76"/>
    <n v="14"/>
    <s v="Medium"/>
  </r>
  <r>
    <n v="9131"/>
    <n v="41"/>
    <x v="1"/>
    <s v="USA"/>
    <x v="0"/>
    <n v="18.22"/>
    <n v="0"/>
    <s v="Medium"/>
    <n v="1"/>
    <n v="70"/>
    <n v="5"/>
    <n v="43"/>
    <s v="Low"/>
  </r>
  <r>
    <n v="9132"/>
    <n v="27"/>
    <x v="0"/>
    <s v="USA"/>
    <x v="3"/>
    <n v="19.48"/>
    <n v="0"/>
    <s v="Medium"/>
    <n v="16"/>
    <n v="154"/>
    <n v="13"/>
    <n v="27"/>
    <s v="High"/>
  </r>
  <r>
    <n v="9133"/>
    <n v="17"/>
    <x v="1"/>
    <s v="Europe"/>
    <x v="0"/>
    <n v="9.48"/>
    <n v="0"/>
    <s v="Medium"/>
    <n v="7"/>
    <n v="78"/>
    <n v="54"/>
    <n v="36"/>
    <s v="Medium"/>
  </r>
  <r>
    <n v="9134"/>
    <n v="20"/>
    <x v="0"/>
    <s v="Europe"/>
    <x v="1"/>
    <n v="19.07"/>
    <n v="0"/>
    <s v="Easy"/>
    <n v="18"/>
    <n v="14"/>
    <n v="49"/>
    <n v="5"/>
    <s v="Low"/>
  </r>
  <r>
    <n v="9135"/>
    <n v="22"/>
    <x v="0"/>
    <s v="USA"/>
    <x v="4"/>
    <n v="8.6"/>
    <n v="1"/>
    <s v="Hard"/>
    <n v="13"/>
    <n v="21"/>
    <n v="58"/>
    <n v="19"/>
    <s v="Low"/>
  </r>
  <r>
    <n v="9136"/>
    <n v="41"/>
    <x v="0"/>
    <s v="Asia"/>
    <x v="3"/>
    <n v="9.98"/>
    <n v="0"/>
    <s v="Easy"/>
    <n v="1"/>
    <n v="124"/>
    <n v="15"/>
    <n v="24"/>
    <s v="Low"/>
  </r>
  <r>
    <n v="9137"/>
    <n v="23"/>
    <x v="0"/>
    <s v="Asia"/>
    <x v="1"/>
    <n v="21.65"/>
    <n v="0"/>
    <s v="Easy"/>
    <n v="7"/>
    <n v="45"/>
    <n v="45"/>
    <n v="42"/>
    <s v="Medium"/>
  </r>
  <r>
    <n v="9138"/>
    <n v="47"/>
    <x v="0"/>
    <s v="Other"/>
    <x v="4"/>
    <n v="16.2"/>
    <n v="0"/>
    <s v="Medium"/>
    <n v="6"/>
    <n v="62"/>
    <n v="96"/>
    <n v="40"/>
    <s v="Medium"/>
  </r>
  <r>
    <n v="9139"/>
    <n v="38"/>
    <x v="1"/>
    <s v="Europe"/>
    <x v="2"/>
    <n v="5.99"/>
    <n v="1"/>
    <s v="Medium"/>
    <n v="7"/>
    <n v="43"/>
    <n v="72"/>
    <n v="16"/>
    <s v="Medium"/>
  </r>
  <r>
    <n v="9140"/>
    <n v="29"/>
    <x v="1"/>
    <s v="USA"/>
    <x v="4"/>
    <n v="15.97"/>
    <n v="0"/>
    <s v="Easy"/>
    <n v="1"/>
    <n v="69"/>
    <n v="81"/>
    <n v="14"/>
    <s v="Low"/>
  </r>
  <r>
    <n v="9141"/>
    <n v="46"/>
    <x v="1"/>
    <s v="Asia"/>
    <x v="2"/>
    <n v="3.68"/>
    <n v="0"/>
    <s v="Easy"/>
    <n v="19"/>
    <n v="42"/>
    <n v="64"/>
    <n v="31"/>
    <s v="Medium"/>
  </r>
  <r>
    <n v="9142"/>
    <n v="46"/>
    <x v="1"/>
    <s v="USA"/>
    <x v="1"/>
    <n v="6.25"/>
    <n v="1"/>
    <s v="Hard"/>
    <n v="8"/>
    <n v="103"/>
    <n v="54"/>
    <n v="36"/>
    <s v="Medium"/>
  </r>
  <r>
    <n v="9143"/>
    <n v="38"/>
    <x v="0"/>
    <s v="USA"/>
    <x v="4"/>
    <n v="1.34"/>
    <n v="1"/>
    <s v="Hard"/>
    <n v="3"/>
    <n v="124"/>
    <n v="82"/>
    <n v="4"/>
    <s v="Medium"/>
  </r>
  <r>
    <n v="9144"/>
    <n v="26"/>
    <x v="0"/>
    <s v="Asia"/>
    <x v="3"/>
    <n v="16.329999999999998"/>
    <n v="1"/>
    <s v="Hard"/>
    <n v="16"/>
    <n v="52"/>
    <n v="87"/>
    <n v="2"/>
    <s v="Medium"/>
  </r>
  <r>
    <n v="9145"/>
    <n v="16"/>
    <x v="0"/>
    <s v="Other"/>
    <x v="1"/>
    <n v="22.75"/>
    <n v="1"/>
    <s v="Easy"/>
    <n v="12"/>
    <n v="132"/>
    <n v="4"/>
    <n v="4"/>
    <s v="High"/>
  </r>
  <r>
    <n v="9146"/>
    <n v="17"/>
    <x v="0"/>
    <s v="USA"/>
    <x v="4"/>
    <n v="22.39"/>
    <n v="0"/>
    <s v="Easy"/>
    <n v="17"/>
    <n v="105"/>
    <n v="60"/>
    <n v="37"/>
    <s v="High"/>
  </r>
  <r>
    <n v="9147"/>
    <n v="31"/>
    <x v="1"/>
    <s v="USA"/>
    <x v="0"/>
    <n v="19.39"/>
    <n v="0"/>
    <s v="Easy"/>
    <n v="11"/>
    <n v="27"/>
    <n v="23"/>
    <n v="13"/>
    <s v="Low"/>
  </r>
  <r>
    <n v="9148"/>
    <n v="16"/>
    <x v="0"/>
    <s v="Europe"/>
    <x v="0"/>
    <n v="3.84"/>
    <n v="0"/>
    <s v="Hard"/>
    <n v="3"/>
    <n v="159"/>
    <n v="8"/>
    <n v="44"/>
    <s v="Low"/>
  </r>
  <r>
    <n v="9149"/>
    <n v="16"/>
    <x v="0"/>
    <s v="Other"/>
    <x v="2"/>
    <n v="20.25"/>
    <n v="0"/>
    <s v="Easy"/>
    <n v="9"/>
    <n v="19"/>
    <n v="95"/>
    <n v="31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el" cacheId="4" applyNumberFormats="0" applyBorderFormats="0" applyFontFormats="0" applyPatternFormats="0" applyAlignmentFormats="0" applyWidthHeightFormats="0" dataCaption="" updatedVersion="7" compact="0" compactData="0">
  <location ref="A5:D12" firstHeaderRow="1" firstDataRow="2" firstDataCol="1"/>
  <pivotFields count="13">
    <pivotField name="PlayerID" compact="0" outline="0" multipleItemSelectionAllowed="1" showAll="0"/>
    <pivotField name="Age" compact="0" outline="0" multipleItemSelectionAllowed="1" showAll="0"/>
    <pivotField name="Gender" axis="axisCol" dataField="1" compact="0" outline="0" multipleItemSelectionAllowed="1" showAll="0" sortType="ascending">
      <items count="3">
        <item x="1"/>
        <item x="0"/>
        <item t="default"/>
      </items>
    </pivotField>
    <pivotField name="Location" compact="0" outline="0" multipleItemSelectionAllowed="1" showAll="0"/>
    <pivotField name="GameGenre" axis="axisRow" compact="0" outline="0" multipleItemSelectionAllowed="1" showAll="0" sortType="ascending">
      <items count="6">
        <item x="2"/>
        <item x="3"/>
        <item x="4"/>
        <item x="1"/>
        <item x="0"/>
        <item t="default"/>
      </items>
    </pivotField>
    <pivotField name="PlayTimeHours" compact="0" numFmtId="1" outline="0" multipleItemSelectionAllowed="1" showAll="0"/>
    <pivotField name="InGamePurchases" compact="0" outline="0" multipleItemSelectionAllowed="1" showAll="0"/>
    <pivotField name="GameDifficulty" compact="0" outline="0" multipleItemSelectionAllowed="1" showAll="0"/>
    <pivotField name="SessionsPerWeek" compact="0" outline="0" multipleItemSelectionAllowed="1" showAll="0"/>
    <pivotField name="AvgSessionDurationMinutes" compact="0" outline="0" multipleItemSelectionAllowed="1" showAll="0"/>
    <pivotField name="PlayerLevel" compact="0" outline="0" multipleItemSelectionAllowed="1" showAll="0"/>
    <pivotField name="AchievementsUnlocked" compact="0" outline="0" multipleItemSelectionAllowed="1" showAll="0"/>
    <pivotField name="EngagementLevel" compact="0" outline="0" multipleItemSelectionAllowed="1"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PlayerID" fld="2" subtotal="count" baseField="0"/>
  </dataFields>
  <formats count="17">
    <format dxfId="33">
      <pivotArea dataOnly="0" labelOnly="1" outline="0" fieldPosition="0">
        <references count="1">
          <reference field="2" count="0"/>
        </references>
      </pivotArea>
    </format>
    <format dxfId="32">
      <pivotArea dataOnly="0" labelOnly="1" grandCol="1" outline="0" fieldPosition="0"/>
    </format>
    <format dxfId="31">
      <pivotArea type="origin" dataOnly="0" labelOnly="1" outline="0" fieldPosition="0"/>
    </format>
    <format dxfId="30">
      <pivotArea field="2" type="button" dataOnly="0" labelOnly="1" outline="0" axis="axisCol" fieldPosition="0"/>
    </format>
    <format dxfId="29">
      <pivotArea type="topRight" dataOnly="0" labelOnly="1" outline="0" fieldPosition="0"/>
    </format>
    <format dxfId="28">
      <pivotArea field="4" type="button" dataOnly="0" labelOnly="1" outline="0" axis="axisRow" fieldPosition="0"/>
    </format>
    <format dxfId="27">
      <pivotArea grandRow="1" outline="0" fieldPosition="0"/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" count="0"/>
        </references>
      </pivotArea>
    </format>
    <format dxfId="24">
      <pivotArea field="2" type="button" dataOnly="0" labelOnly="1" outline="0" axis="axisCol" fieldPosition="0"/>
    </format>
    <format dxfId="23">
      <pivotArea type="topRight" dataOnly="0" labelOnly="1" outline="0" fieldPosition="0"/>
    </format>
    <format dxfId="22">
      <pivotArea type="origin" dataOnly="0" labelOnly="1" outline="0" fieldPosition="0"/>
    </format>
    <format dxfId="21">
      <pivotArea field="4" type="button" dataOnly="0" labelOnly="1" outline="0" axis="axisRow" fieldPosition="0"/>
    </format>
    <format dxfId="20">
      <pivotArea dataOnly="0" labelOnly="1" grandRow="1" outline="0" fieldPosition="0"/>
    </format>
    <format dxfId="19">
      <pivotArea grandRow="1" outline="0" fieldPosition="0"/>
    </format>
    <format dxfId="18">
      <pivotArea dataOnly="0" labelOnly="1" outline="0" fieldPosition="0">
        <references count="1">
          <reference field="2" count="0"/>
        </references>
      </pivotArea>
    </format>
    <format dxfId="17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64" workbookViewId="0">
      <selection activeCell="A170" sqref="A170"/>
    </sheetView>
  </sheetViews>
  <sheetFormatPr defaultColWidth="11.21875" defaultRowHeight="15" customHeight="1"/>
  <cols>
    <col min="1" max="5" width="10.88671875" customWidth="1"/>
    <col min="6" max="6" width="23.44140625" customWidth="1"/>
    <col min="7" max="7" width="16" customWidth="1"/>
    <col min="8" max="8" width="14.88671875" customWidth="1"/>
    <col min="9" max="9" width="15.88671875" customWidth="1"/>
    <col min="10" max="10" width="24.44140625" customWidth="1"/>
    <col min="11" max="11" width="10.88671875" customWidth="1"/>
    <col min="12" max="12" width="20.44140625" customWidth="1"/>
    <col min="13" max="13" width="15.33203125" customWidth="1"/>
    <col min="14" max="26" width="10.886718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>
        <v>9000</v>
      </c>
      <c r="B2" s="1">
        <v>43</v>
      </c>
      <c r="C2" s="1" t="s">
        <v>13</v>
      </c>
      <c r="D2" s="1" t="s">
        <v>14</v>
      </c>
      <c r="E2" s="1" t="s">
        <v>15</v>
      </c>
      <c r="F2" s="2">
        <v>16.27</v>
      </c>
      <c r="G2" s="1">
        <v>0</v>
      </c>
      <c r="H2" s="1" t="s">
        <v>16</v>
      </c>
      <c r="I2" s="1">
        <v>6</v>
      </c>
      <c r="J2" s="1">
        <v>108</v>
      </c>
      <c r="K2" s="1">
        <v>79</v>
      </c>
      <c r="L2" s="1">
        <v>25</v>
      </c>
      <c r="M2" s="1" t="s">
        <v>16</v>
      </c>
      <c r="N2" s="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>
        <v>9001</v>
      </c>
      <c r="B3" s="1">
        <v>29</v>
      </c>
      <c r="C3" s="1" t="s">
        <v>17</v>
      </c>
      <c r="D3" s="1" t="s">
        <v>18</v>
      </c>
      <c r="E3" s="1" t="s">
        <v>15</v>
      </c>
      <c r="F3" s="2">
        <v>5.52</v>
      </c>
      <c r="G3" s="1">
        <v>0</v>
      </c>
      <c r="H3" s="1" t="s">
        <v>16</v>
      </c>
      <c r="I3" s="1">
        <v>5</v>
      </c>
      <c r="J3" s="1">
        <v>144</v>
      </c>
      <c r="K3" s="1">
        <v>11</v>
      </c>
      <c r="L3" s="1">
        <v>10</v>
      </c>
      <c r="M3" s="1" t="s">
        <v>16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>
        <v>9002</v>
      </c>
      <c r="B4" s="1">
        <v>22</v>
      </c>
      <c r="C4" s="1" t="s">
        <v>17</v>
      </c>
      <c r="D4" s="1" t="s">
        <v>18</v>
      </c>
      <c r="E4" s="1" t="s">
        <v>19</v>
      </c>
      <c r="F4" s="2">
        <v>8.2200000000000006</v>
      </c>
      <c r="G4" s="1">
        <v>0</v>
      </c>
      <c r="H4" s="1" t="s">
        <v>20</v>
      </c>
      <c r="I4" s="1">
        <v>16</v>
      </c>
      <c r="J4" s="1">
        <v>142</v>
      </c>
      <c r="K4" s="1">
        <v>35</v>
      </c>
      <c r="L4" s="1">
        <v>41</v>
      </c>
      <c r="M4" s="1" t="s">
        <v>21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>
        <v>9003</v>
      </c>
      <c r="B5" s="1">
        <v>35</v>
      </c>
      <c r="C5" s="1" t="s">
        <v>13</v>
      </c>
      <c r="D5" s="1" t="s">
        <v>18</v>
      </c>
      <c r="E5" s="1" t="s">
        <v>22</v>
      </c>
      <c r="F5" s="2">
        <v>5.26</v>
      </c>
      <c r="G5" s="1">
        <v>1</v>
      </c>
      <c r="H5" s="1" t="s">
        <v>20</v>
      </c>
      <c r="I5" s="1">
        <v>9</v>
      </c>
      <c r="J5" s="1">
        <v>85</v>
      </c>
      <c r="K5" s="1">
        <v>57</v>
      </c>
      <c r="L5" s="1">
        <v>47</v>
      </c>
      <c r="M5" s="1" t="s">
        <v>16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>
        <v>9004</v>
      </c>
      <c r="B6" s="1">
        <v>33</v>
      </c>
      <c r="C6" s="1" t="s">
        <v>13</v>
      </c>
      <c r="D6" s="1" t="s">
        <v>23</v>
      </c>
      <c r="E6" s="1" t="s">
        <v>22</v>
      </c>
      <c r="F6" s="2">
        <v>15.53</v>
      </c>
      <c r="G6" s="1">
        <v>0</v>
      </c>
      <c r="H6" s="1" t="s">
        <v>16</v>
      </c>
      <c r="I6" s="1">
        <v>2</v>
      </c>
      <c r="J6" s="1">
        <v>131</v>
      </c>
      <c r="K6" s="1">
        <v>95</v>
      </c>
      <c r="L6" s="1">
        <v>37</v>
      </c>
      <c r="M6" s="1" t="s">
        <v>16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>
        <v>9005</v>
      </c>
      <c r="B7" s="1">
        <v>37</v>
      </c>
      <c r="C7" s="1" t="s">
        <v>13</v>
      </c>
      <c r="D7" s="1" t="s">
        <v>23</v>
      </c>
      <c r="E7" s="1" t="s">
        <v>24</v>
      </c>
      <c r="F7" s="2">
        <v>20.56</v>
      </c>
      <c r="G7" s="1">
        <v>0</v>
      </c>
      <c r="H7" s="1" t="s">
        <v>20</v>
      </c>
      <c r="I7" s="1">
        <v>2</v>
      </c>
      <c r="J7" s="1">
        <v>81</v>
      </c>
      <c r="K7" s="1">
        <v>74</v>
      </c>
      <c r="L7" s="1">
        <v>22</v>
      </c>
      <c r="M7" s="1" t="s">
        <v>25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>
        <v>9006</v>
      </c>
      <c r="B8" s="1">
        <v>25</v>
      </c>
      <c r="C8" s="1" t="s">
        <v>13</v>
      </c>
      <c r="D8" s="1" t="s">
        <v>18</v>
      </c>
      <c r="E8" s="1" t="s">
        <v>22</v>
      </c>
      <c r="F8" s="2">
        <v>9.75</v>
      </c>
      <c r="G8" s="1">
        <v>0</v>
      </c>
      <c r="H8" s="1" t="s">
        <v>26</v>
      </c>
      <c r="I8" s="1">
        <v>1</v>
      </c>
      <c r="J8" s="1">
        <v>50</v>
      </c>
      <c r="K8" s="1">
        <v>13</v>
      </c>
      <c r="L8" s="1">
        <v>2</v>
      </c>
      <c r="M8" s="1" t="s">
        <v>25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>
        <v>9007</v>
      </c>
      <c r="B9" s="1">
        <v>25</v>
      </c>
      <c r="C9" s="1" t="s">
        <v>17</v>
      </c>
      <c r="D9" s="1" t="s">
        <v>27</v>
      </c>
      <c r="E9" s="1" t="s">
        <v>24</v>
      </c>
      <c r="F9" s="2">
        <v>4.4000000000000004</v>
      </c>
      <c r="G9" s="1">
        <v>0</v>
      </c>
      <c r="H9" s="1" t="s">
        <v>16</v>
      </c>
      <c r="I9" s="1">
        <v>10</v>
      </c>
      <c r="J9" s="1">
        <v>48</v>
      </c>
      <c r="K9" s="1">
        <v>27</v>
      </c>
      <c r="L9" s="1">
        <v>23</v>
      </c>
      <c r="M9" s="1" t="s">
        <v>16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>
        <v>9008</v>
      </c>
      <c r="B10" s="1">
        <v>38</v>
      </c>
      <c r="C10" s="1" t="s">
        <v>17</v>
      </c>
      <c r="D10" s="1" t="s">
        <v>23</v>
      </c>
      <c r="E10" s="1" t="s">
        <v>28</v>
      </c>
      <c r="F10" s="2">
        <v>18.149999999999999</v>
      </c>
      <c r="G10" s="1">
        <v>0</v>
      </c>
      <c r="H10" s="1" t="s">
        <v>20</v>
      </c>
      <c r="I10" s="1">
        <v>5</v>
      </c>
      <c r="J10" s="1">
        <v>101</v>
      </c>
      <c r="K10" s="1">
        <v>23</v>
      </c>
      <c r="L10" s="1">
        <v>41</v>
      </c>
      <c r="M10" s="1" t="s">
        <v>16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>
        <v>9009</v>
      </c>
      <c r="B11" s="1">
        <v>38</v>
      </c>
      <c r="C11" s="1" t="s">
        <v>17</v>
      </c>
      <c r="D11" s="1" t="s">
        <v>14</v>
      </c>
      <c r="E11" s="1" t="s">
        <v>19</v>
      </c>
      <c r="F11" s="2">
        <v>23.94</v>
      </c>
      <c r="G11" s="1">
        <v>0</v>
      </c>
      <c r="H11" s="1" t="s">
        <v>20</v>
      </c>
      <c r="I11" s="1">
        <v>13</v>
      </c>
      <c r="J11" s="1">
        <v>95</v>
      </c>
      <c r="K11" s="1">
        <v>99</v>
      </c>
      <c r="L11" s="1">
        <v>36</v>
      </c>
      <c r="M11" s="1" t="s">
        <v>21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>
        <v>9010</v>
      </c>
      <c r="B12" s="1">
        <v>17</v>
      </c>
      <c r="C12" s="1" t="s">
        <v>13</v>
      </c>
      <c r="D12" s="1" t="s">
        <v>18</v>
      </c>
      <c r="E12" s="1" t="s">
        <v>15</v>
      </c>
      <c r="F12" s="2">
        <v>4.82</v>
      </c>
      <c r="G12" s="1">
        <v>0</v>
      </c>
      <c r="H12" s="1" t="s">
        <v>26</v>
      </c>
      <c r="I12" s="1">
        <v>8</v>
      </c>
      <c r="J12" s="1">
        <v>95</v>
      </c>
      <c r="K12" s="1">
        <v>14</v>
      </c>
      <c r="L12" s="1">
        <v>12</v>
      </c>
      <c r="M12" s="1" t="s">
        <v>21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>
        <v>9011</v>
      </c>
      <c r="B13" s="1">
        <v>36</v>
      </c>
      <c r="C13" s="1" t="s">
        <v>17</v>
      </c>
      <c r="D13" s="1" t="s">
        <v>27</v>
      </c>
      <c r="E13" s="1" t="s">
        <v>28</v>
      </c>
      <c r="F13" s="2">
        <v>5.53</v>
      </c>
      <c r="G13" s="1">
        <v>1</v>
      </c>
      <c r="H13" s="1" t="s">
        <v>20</v>
      </c>
      <c r="I13" s="1">
        <v>16</v>
      </c>
      <c r="J13" s="1">
        <v>124</v>
      </c>
      <c r="K13" s="1">
        <v>62</v>
      </c>
      <c r="L13" s="1">
        <v>31</v>
      </c>
      <c r="M13" s="1" t="s">
        <v>21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>
        <v>9012</v>
      </c>
      <c r="B14" s="1">
        <v>16</v>
      </c>
      <c r="C14" s="1" t="s">
        <v>13</v>
      </c>
      <c r="D14" s="1" t="s">
        <v>18</v>
      </c>
      <c r="E14" s="1" t="s">
        <v>19</v>
      </c>
      <c r="F14" s="2">
        <v>18.77</v>
      </c>
      <c r="G14" s="1">
        <v>1</v>
      </c>
      <c r="H14" s="1" t="s">
        <v>20</v>
      </c>
      <c r="I14" s="1">
        <v>9</v>
      </c>
      <c r="J14" s="1">
        <v>18</v>
      </c>
      <c r="K14" s="1">
        <v>52</v>
      </c>
      <c r="L14" s="1">
        <v>32</v>
      </c>
      <c r="M14" s="1" t="s">
        <v>21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>
        <v>9013</v>
      </c>
      <c r="B15" s="1">
        <v>38</v>
      </c>
      <c r="C15" s="1" t="s">
        <v>17</v>
      </c>
      <c r="D15" s="1" t="s">
        <v>18</v>
      </c>
      <c r="E15" s="1" t="s">
        <v>15</v>
      </c>
      <c r="F15" s="2">
        <v>8.6999999999999993</v>
      </c>
      <c r="G15" s="1">
        <v>0</v>
      </c>
      <c r="H15" s="1" t="s">
        <v>20</v>
      </c>
      <c r="I15" s="1">
        <v>0</v>
      </c>
      <c r="J15" s="1">
        <v>156</v>
      </c>
      <c r="K15" s="1">
        <v>33</v>
      </c>
      <c r="L15" s="1">
        <v>47</v>
      </c>
      <c r="M15" s="1" t="s">
        <v>25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>
        <v>9014</v>
      </c>
      <c r="B16" s="1">
        <v>44</v>
      </c>
      <c r="C16" s="1" t="s">
        <v>13</v>
      </c>
      <c r="D16" s="1" t="s">
        <v>18</v>
      </c>
      <c r="E16" s="1" t="s">
        <v>28</v>
      </c>
      <c r="F16" s="2">
        <v>17.97</v>
      </c>
      <c r="G16" s="1">
        <v>0</v>
      </c>
      <c r="H16" s="1" t="s">
        <v>20</v>
      </c>
      <c r="I16" s="1">
        <v>8</v>
      </c>
      <c r="J16" s="1">
        <v>41</v>
      </c>
      <c r="K16" s="1">
        <v>98</v>
      </c>
      <c r="L16" s="1">
        <v>1</v>
      </c>
      <c r="M16" s="1" t="s">
        <v>25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>
        <v>9015</v>
      </c>
      <c r="B17" s="1">
        <v>16</v>
      </c>
      <c r="C17" s="1" t="s">
        <v>13</v>
      </c>
      <c r="D17" s="1" t="s">
        <v>23</v>
      </c>
      <c r="E17" s="1" t="s">
        <v>24</v>
      </c>
      <c r="F17" s="2">
        <v>7.95</v>
      </c>
      <c r="G17" s="1">
        <v>0</v>
      </c>
      <c r="H17" s="1" t="s">
        <v>16</v>
      </c>
      <c r="I17" s="1">
        <v>10</v>
      </c>
      <c r="J17" s="1">
        <v>156</v>
      </c>
      <c r="K17" s="1">
        <v>58</v>
      </c>
      <c r="L17" s="1">
        <v>24</v>
      </c>
      <c r="M17" s="1" t="s">
        <v>21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>
        <v>9016</v>
      </c>
      <c r="B18" s="1">
        <v>35</v>
      </c>
      <c r="C18" s="1" t="s">
        <v>13</v>
      </c>
      <c r="D18" s="1" t="s">
        <v>27</v>
      </c>
      <c r="E18" s="1" t="s">
        <v>15</v>
      </c>
      <c r="F18" s="2">
        <v>17.88</v>
      </c>
      <c r="G18" s="1">
        <v>0</v>
      </c>
      <c r="H18" s="1" t="s">
        <v>20</v>
      </c>
      <c r="I18" s="1">
        <v>16</v>
      </c>
      <c r="J18" s="1">
        <v>154</v>
      </c>
      <c r="K18" s="1">
        <v>62</v>
      </c>
      <c r="L18" s="1">
        <v>4</v>
      </c>
      <c r="M18" s="1" t="s">
        <v>21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>
        <v>9017</v>
      </c>
      <c r="B19" s="1">
        <v>47</v>
      </c>
      <c r="C19" s="1" t="s">
        <v>13</v>
      </c>
      <c r="D19" s="1" t="s">
        <v>18</v>
      </c>
      <c r="E19" s="1" t="s">
        <v>24</v>
      </c>
      <c r="F19" s="2">
        <v>17.271999999999998</v>
      </c>
      <c r="G19" s="1">
        <v>0</v>
      </c>
      <c r="H19" s="1" t="s">
        <v>16</v>
      </c>
      <c r="I19" s="1">
        <v>2</v>
      </c>
      <c r="J19" s="1">
        <v>131</v>
      </c>
      <c r="K19" s="1">
        <v>13</v>
      </c>
      <c r="L19" s="1">
        <v>9</v>
      </c>
      <c r="M19" s="1" t="s">
        <v>25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>
        <v>9018</v>
      </c>
      <c r="B20" s="1">
        <v>26</v>
      </c>
      <c r="C20" s="1" t="s">
        <v>17</v>
      </c>
      <c r="D20" s="1" t="s">
        <v>27</v>
      </c>
      <c r="E20" s="1" t="s">
        <v>22</v>
      </c>
      <c r="F20" s="2">
        <v>19.41</v>
      </c>
      <c r="G20" s="1">
        <v>0</v>
      </c>
      <c r="H20" s="1" t="s">
        <v>20</v>
      </c>
      <c r="I20" s="1">
        <v>3</v>
      </c>
      <c r="J20" s="1">
        <v>135</v>
      </c>
      <c r="K20" s="1">
        <v>77</v>
      </c>
      <c r="L20" s="1">
        <v>25</v>
      </c>
      <c r="M20" s="1" t="s">
        <v>16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>
        <v>9019</v>
      </c>
      <c r="B21" s="1">
        <v>36</v>
      </c>
      <c r="C21" s="1" t="s">
        <v>17</v>
      </c>
      <c r="D21" s="1" t="s">
        <v>27</v>
      </c>
      <c r="E21" s="1" t="s">
        <v>24</v>
      </c>
      <c r="F21" s="2">
        <v>19.329999999999998</v>
      </c>
      <c r="G21" s="1">
        <v>0</v>
      </c>
      <c r="H21" s="1" t="s">
        <v>20</v>
      </c>
      <c r="I21" s="1">
        <v>4</v>
      </c>
      <c r="J21" s="1">
        <v>56</v>
      </c>
      <c r="K21" s="1">
        <v>21</v>
      </c>
      <c r="L21" s="1">
        <v>30</v>
      </c>
      <c r="M21" s="1" t="s">
        <v>25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>
        <v>9020</v>
      </c>
      <c r="B22" s="1">
        <v>39</v>
      </c>
      <c r="C22" s="1" t="s">
        <v>17</v>
      </c>
      <c r="D22" s="1" t="s">
        <v>18</v>
      </c>
      <c r="E22" s="1" t="s">
        <v>19</v>
      </c>
      <c r="F22" s="2">
        <v>1.722</v>
      </c>
      <c r="G22" s="1">
        <v>0</v>
      </c>
      <c r="H22" s="1" t="s">
        <v>20</v>
      </c>
      <c r="I22" s="1">
        <v>2</v>
      </c>
      <c r="J22" s="1">
        <v>177</v>
      </c>
      <c r="K22" s="1">
        <v>34</v>
      </c>
      <c r="L22" s="1">
        <v>37</v>
      </c>
      <c r="M22" s="1" t="s">
        <v>16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>
        <v>9021</v>
      </c>
      <c r="B23" s="1">
        <v>41</v>
      </c>
      <c r="C23" s="1" t="s">
        <v>17</v>
      </c>
      <c r="D23" s="1" t="s">
        <v>18</v>
      </c>
      <c r="E23" s="1" t="s">
        <v>19</v>
      </c>
      <c r="F23" s="2">
        <v>16.16</v>
      </c>
      <c r="G23" s="1">
        <v>0</v>
      </c>
      <c r="H23" s="1" t="s">
        <v>20</v>
      </c>
      <c r="I23" s="1">
        <v>18</v>
      </c>
      <c r="J23" s="1">
        <v>159</v>
      </c>
      <c r="K23" s="1">
        <v>36</v>
      </c>
      <c r="L23" s="1">
        <v>33</v>
      </c>
      <c r="M23" s="1" t="s">
        <v>21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>
        <v>9022</v>
      </c>
      <c r="B24" s="1">
        <v>42</v>
      </c>
      <c r="C24" s="1" t="s">
        <v>13</v>
      </c>
      <c r="D24" s="1" t="s">
        <v>18</v>
      </c>
      <c r="E24" s="1" t="s">
        <v>19</v>
      </c>
      <c r="F24" s="2">
        <v>10.44</v>
      </c>
      <c r="G24" s="1">
        <v>0</v>
      </c>
      <c r="H24" s="1" t="s">
        <v>16</v>
      </c>
      <c r="I24" s="1">
        <v>2</v>
      </c>
      <c r="J24" s="1">
        <v>120</v>
      </c>
      <c r="K24" s="1">
        <v>81</v>
      </c>
      <c r="L24" s="1">
        <v>5</v>
      </c>
      <c r="M24" s="1" t="s">
        <v>25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>
        <v>9023</v>
      </c>
      <c r="B25" s="1">
        <v>30</v>
      </c>
      <c r="C25" s="1" t="s">
        <v>13</v>
      </c>
      <c r="D25" s="1" t="s">
        <v>23</v>
      </c>
      <c r="E25" s="1" t="s">
        <v>15</v>
      </c>
      <c r="F25" s="2">
        <v>17.95</v>
      </c>
      <c r="G25" s="1">
        <v>0</v>
      </c>
      <c r="H25" s="1" t="s">
        <v>20</v>
      </c>
      <c r="I25" s="1">
        <v>14</v>
      </c>
      <c r="J25" s="1">
        <v>117</v>
      </c>
      <c r="K25" s="1">
        <v>40</v>
      </c>
      <c r="L25" s="1">
        <v>19</v>
      </c>
      <c r="M25" s="1" t="s">
        <v>21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>
        <v>9024</v>
      </c>
      <c r="B26" s="1">
        <v>29</v>
      </c>
      <c r="C26" s="1" t="s">
        <v>13</v>
      </c>
      <c r="D26" s="1" t="s">
        <v>23</v>
      </c>
      <c r="E26" s="1" t="s">
        <v>19</v>
      </c>
      <c r="F26" s="2">
        <v>22.56</v>
      </c>
      <c r="G26" s="1">
        <v>0</v>
      </c>
      <c r="H26" s="1" t="s">
        <v>16</v>
      </c>
      <c r="I26" s="1">
        <v>12</v>
      </c>
      <c r="J26" s="1">
        <v>161</v>
      </c>
      <c r="K26" s="1">
        <v>1</v>
      </c>
      <c r="L26" s="1">
        <v>22</v>
      </c>
      <c r="M26" s="1" t="s">
        <v>21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>
        <v>9025</v>
      </c>
      <c r="B27" s="1">
        <v>17</v>
      </c>
      <c r="C27" s="1" t="s">
        <v>17</v>
      </c>
      <c r="D27" s="1" t="s">
        <v>18</v>
      </c>
      <c r="E27" s="1" t="s">
        <v>19</v>
      </c>
      <c r="F27" s="2">
        <v>10.311</v>
      </c>
      <c r="G27" s="1">
        <v>0</v>
      </c>
      <c r="H27" s="1" t="s">
        <v>26</v>
      </c>
      <c r="I27" s="1">
        <v>4</v>
      </c>
      <c r="J27" s="1">
        <v>82</v>
      </c>
      <c r="K27" s="1">
        <v>1</v>
      </c>
      <c r="L27" s="1">
        <v>7</v>
      </c>
      <c r="M27" s="1" t="s">
        <v>16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>
        <v>9026</v>
      </c>
      <c r="B28" s="1">
        <v>21</v>
      </c>
      <c r="C28" s="1" t="s">
        <v>13</v>
      </c>
      <c r="D28" s="1" t="s">
        <v>18</v>
      </c>
      <c r="E28" s="1" t="s">
        <v>15</v>
      </c>
      <c r="F28" s="2">
        <v>4.8899999999999997</v>
      </c>
      <c r="G28" s="1">
        <v>0</v>
      </c>
      <c r="H28" s="1" t="s">
        <v>16</v>
      </c>
      <c r="I28" s="1">
        <v>12</v>
      </c>
      <c r="J28" s="1">
        <v>118</v>
      </c>
      <c r="K28" s="1">
        <v>71</v>
      </c>
      <c r="L28" s="1">
        <v>26</v>
      </c>
      <c r="M28" s="1" t="s">
        <v>21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>
        <v>9027</v>
      </c>
      <c r="B29" s="1">
        <v>35</v>
      </c>
      <c r="C29" s="1" t="s">
        <v>13</v>
      </c>
      <c r="D29" s="1" t="s">
        <v>18</v>
      </c>
      <c r="E29" s="1" t="s">
        <v>19</v>
      </c>
      <c r="F29" s="2">
        <v>14.59</v>
      </c>
      <c r="G29" s="1">
        <v>0</v>
      </c>
      <c r="H29" s="1" t="s">
        <v>20</v>
      </c>
      <c r="I29" s="1">
        <v>18</v>
      </c>
      <c r="J29" s="1">
        <v>177</v>
      </c>
      <c r="K29" s="1">
        <v>59</v>
      </c>
      <c r="L29" s="1">
        <v>18</v>
      </c>
      <c r="M29" s="1" t="s">
        <v>21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>
        <v>9028</v>
      </c>
      <c r="B30" s="1">
        <v>23</v>
      </c>
      <c r="C30" s="1" t="s">
        <v>13</v>
      </c>
      <c r="D30" s="1" t="s">
        <v>23</v>
      </c>
      <c r="E30" s="1" t="s">
        <v>28</v>
      </c>
      <c r="F30" s="2">
        <v>3.21</v>
      </c>
      <c r="G30" s="1">
        <v>0</v>
      </c>
      <c r="H30" s="1" t="s">
        <v>20</v>
      </c>
      <c r="I30" s="1">
        <v>14</v>
      </c>
      <c r="J30" s="1">
        <v>57</v>
      </c>
      <c r="K30" s="1">
        <v>2</v>
      </c>
      <c r="L30" s="1">
        <v>1</v>
      </c>
      <c r="M30" s="1" t="s">
        <v>16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>
        <v>9029</v>
      </c>
      <c r="B31" s="1">
        <v>32</v>
      </c>
      <c r="C31" s="1" t="s">
        <v>17</v>
      </c>
      <c r="D31" s="1" t="s">
        <v>18</v>
      </c>
      <c r="E31" s="1" t="s">
        <v>19</v>
      </c>
      <c r="F31" s="2">
        <v>4.12</v>
      </c>
      <c r="G31" s="1">
        <v>0</v>
      </c>
      <c r="H31" s="1" t="s">
        <v>20</v>
      </c>
      <c r="I31" s="1">
        <v>1</v>
      </c>
      <c r="J31" s="1">
        <v>155</v>
      </c>
      <c r="K31" s="1">
        <v>85</v>
      </c>
      <c r="L31" s="1">
        <v>37</v>
      </c>
      <c r="M31" s="1" t="s">
        <v>25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>
        <v>9030</v>
      </c>
      <c r="B32" s="1">
        <v>18</v>
      </c>
      <c r="C32" s="1" t="s">
        <v>17</v>
      </c>
      <c r="D32" s="1" t="s">
        <v>27</v>
      </c>
      <c r="E32" s="1" t="s">
        <v>28</v>
      </c>
      <c r="F32" s="2">
        <v>22.85</v>
      </c>
      <c r="G32" s="1">
        <v>0</v>
      </c>
      <c r="H32" s="1" t="s">
        <v>20</v>
      </c>
      <c r="I32" s="1">
        <v>3</v>
      </c>
      <c r="J32" s="1">
        <v>67</v>
      </c>
      <c r="K32" s="1">
        <v>35</v>
      </c>
      <c r="L32" s="1">
        <v>2</v>
      </c>
      <c r="M32" s="1" t="s">
        <v>25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>
        <v>9031</v>
      </c>
      <c r="B33" s="1">
        <v>39</v>
      </c>
      <c r="C33" s="1" t="s">
        <v>13</v>
      </c>
      <c r="D33" s="1" t="s">
        <v>18</v>
      </c>
      <c r="E33" s="1" t="s">
        <v>19</v>
      </c>
      <c r="F33" s="2">
        <v>3.37</v>
      </c>
      <c r="G33" s="1">
        <v>1</v>
      </c>
      <c r="H33" s="1" t="s">
        <v>20</v>
      </c>
      <c r="I33" s="1">
        <v>5</v>
      </c>
      <c r="J33" s="1">
        <v>70</v>
      </c>
      <c r="K33" s="1">
        <v>50</v>
      </c>
      <c r="L33" s="1">
        <v>11</v>
      </c>
      <c r="M33" s="1" t="s">
        <v>16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>
        <v>9032</v>
      </c>
      <c r="B34" s="1">
        <v>28</v>
      </c>
      <c r="C34" s="1" t="s">
        <v>17</v>
      </c>
      <c r="D34" s="1" t="s">
        <v>23</v>
      </c>
      <c r="E34" s="1" t="s">
        <v>22</v>
      </c>
      <c r="F34" s="2">
        <v>14.52</v>
      </c>
      <c r="G34" s="1">
        <v>0</v>
      </c>
      <c r="H34" s="1" t="s">
        <v>26</v>
      </c>
      <c r="I34" s="1">
        <v>0</v>
      </c>
      <c r="J34" s="1">
        <v>127</v>
      </c>
      <c r="K34" s="1">
        <v>48</v>
      </c>
      <c r="L34" s="1">
        <v>48</v>
      </c>
      <c r="M34" s="1" t="s">
        <v>25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>
        <v>9033</v>
      </c>
      <c r="B35" s="1">
        <v>23</v>
      </c>
      <c r="C35" s="1" t="s">
        <v>13</v>
      </c>
      <c r="D35" s="1" t="s">
        <v>18</v>
      </c>
      <c r="E35" s="1" t="s">
        <v>28</v>
      </c>
      <c r="F35" s="2">
        <v>18.96</v>
      </c>
      <c r="G35" s="1">
        <v>0</v>
      </c>
      <c r="H35" s="1" t="s">
        <v>26</v>
      </c>
      <c r="I35" s="1">
        <v>19</v>
      </c>
      <c r="J35" s="1">
        <v>48</v>
      </c>
      <c r="K35" s="1">
        <v>62</v>
      </c>
      <c r="L35" s="1">
        <v>42</v>
      </c>
      <c r="M35" s="1" t="s">
        <v>16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>
        <v>9034</v>
      </c>
      <c r="B36" s="1">
        <v>40</v>
      </c>
      <c r="C36" s="1" t="s">
        <v>13</v>
      </c>
      <c r="D36" s="1" t="s">
        <v>18</v>
      </c>
      <c r="E36" s="1" t="s">
        <v>15</v>
      </c>
      <c r="F36" s="2">
        <v>11.72</v>
      </c>
      <c r="G36" s="1">
        <v>0</v>
      </c>
      <c r="H36" s="1" t="s">
        <v>26</v>
      </c>
      <c r="I36" s="1">
        <v>0</v>
      </c>
      <c r="J36" s="1">
        <v>120</v>
      </c>
      <c r="K36" s="1">
        <v>24</v>
      </c>
      <c r="L36" s="1">
        <v>18</v>
      </c>
      <c r="M36" s="1" t="s">
        <v>25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>
        <v>9035</v>
      </c>
      <c r="B37" s="1">
        <v>16</v>
      </c>
      <c r="C37" s="1" t="s">
        <v>17</v>
      </c>
      <c r="D37" s="1" t="s">
        <v>18</v>
      </c>
      <c r="E37" s="1" t="s">
        <v>24</v>
      </c>
      <c r="F37" s="2">
        <v>17.489999999999998</v>
      </c>
      <c r="G37" s="1">
        <v>0</v>
      </c>
      <c r="H37" s="1" t="s">
        <v>16</v>
      </c>
      <c r="I37" s="1">
        <v>18</v>
      </c>
      <c r="J37" s="1">
        <v>166</v>
      </c>
      <c r="K37" s="1">
        <v>24</v>
      </c>
      <c r="L37" s="1">
        <v>17</v>
      </c>
      <c r="M37" s="1" t="s">
        <v>21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>
        <v>9036</v>
      </c>
      <c r="B38" s="1">
        <v>34</v>
      </c>
      <c r="C38" s="1" t="s">
        <v>13</v>
      </c>
      <c r="D38" s="1" t="s">
        <v>23</v>
      </c>
      <c r="E38" s="1" t="s">
        <v>22</v>
      </c>
      <c r="F38" s="2">
        <v>13.77</v>
      </c>
      <c r="G38" s="1">
        <v>0</v>
      </c>
      <c r="H38" s="1" t="s">
        <v>26</v>
      </c>
      <c r="I38" s="1">
        <v>19</v>
      </c>
      <c r="J38" s="1">
        <v>28</v>
      </c>
      <c r="K38" s="1">
        <v>79</v>
      </c>
      <c r="L38" s="1">
        <v>41</v>
      </c>
      <c r="M38" s="1" t="s">
        <v>16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>
        <v>9037</v>
      </c>
      <c r="B39" s="1">
        <v>42</v>
      </c>
      <c r="C39" s="1" t="s">
        <v>13</v>
      </c>
      <c r="D39" s="1" t="s">
        <v>18</v>
      </c>
      <c r="E39" s="1" t="s">
        <v>15</v>
      </c>
      <c r="F39" s="2">
        <v>3.95</v>
      </c>
      <c r="G39" s="1">
        <v>0</v>
      </c>
      <c r="H39" s="1" t="s">
        <v>16</v>
      </c>
      <c r="I39" s="1">
        <v>17</v>
      </c>
      <c r="J39" s="1">
        <v>61</v>
      </c>
      <c r="K39" s="1">
        <v>26</v>
      </c>
      <c r="L39" s="1">
        <v>26</v>
      </c>
      <c r="M39" s="1" t="s">
        <v>16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>
        <v>9038</v>
      </c>
      <c r="B40" s="1">
        <v>21</v>
      </c>
      <c r="C40" s="1" t="s">
        <v>17</v>
      </c>
      <c r="D40" s="1" t="s">
        <v>23</v>
      </c>
      <c r="E40" s="1" t="s">
        <v>22</v>
      </c>
      <c r="F40" s="2">
        <v>1.9</v>
      </c>
      <c r="G40" s="1">
        <v>0</v>
      </c>
      <c r="H40" s="1" t="s">
        <v>16</v>
      </c>
      <c r="I40" s="1">
        <v>11</v>
      </c>
      <c r="J40" s="1">
        <v>112</v>
      </c>
      <c r="K40" s="1">
        <v>14</v>
      </c>
      <c r="L40" s="1">
        <v>0</v>
      </c>
      <c r="M40" s="1" t="s">
        <v>16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>
        <v>9039</v>
      </c>
      <c r="B41" s="1">
        <v>22</v>
      </c>
      <c r="C41" s="1" t="s">
        <v>17</v>
      </c>
      <c r="D41" s="1" t="s">
        <v>23</v>
      </c>
      <c r="E41" s="1" t="s">
        <v>19</v>
      </c>
      <c r="F41" s="2">
        <v>5.56</v>
      </c>
      <c r="G41" s="1">
        <v>0</v>
      </c>
      <c r="H41" s="1" t="s">
        <v>26</v>
      </c>
      <c r="I41" s="1">
        <v>3</v>
      </c>
      <c r="J41" s="1">
        <v>116</v>
      </c>
      <c r="K41" s="1">
        <v>52</v>
      </c>
      <c r="L41" s="1">
        <v>44</v>
      </c>
      <c r="M41" s="1" t="s">
        <v>16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>
        <v>9040</v>
      </c>
      <c r="B42" s="1">
        <v>49</v>
      </c>
      <c r="C42" s="1" t="s">
        <v>17</v>
      </c>
      <c r="D42" s="1" t="s">
        <v>23</v>
      </c>
      <c r="E42" s="1" t="s">
        <v>15</v>
      </c>
      <c r="F42" s="2">
        <v>13.71</v>
      </c>
      <c r="G42" s="1">
        <v>1</v>
      </c>
      <c r="H42" s="1" t="s">
        <v>16</v>
      </c>
      <c r="I42" s="1">
        <v>15</v>
      </c>
      <c r="J42" s="1">
        <v>43</v>
      </c>
      <c r="K42" s="1">
        <v>93</v>
      </c>
      <c r="L42" s="1">
        <v>29</v>
      </c>
      <c r="M42" s="1" t="s">
        <v>16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>
        <v>9041</v>
      </c>
      <c r="B43" s="1">
        <v>28</v>
      </c>
      <c r="C43" s="1" t="s">
        <v>13</v>
      </c>
      <c r="D43" s="1" t="s">
        <v>14</v>
      </c>
      <c r="E43" s="1" t="s">
        <v>24</v>
      </c>
      <c r="F43" s="2">
        <v>12.28</v>
      </c>
      <c r="G43" s="1">
        <v>0</v>
      </c>
      <c r="H43" s="1" t="s">
        <v>16</v>
      </c>
      <c r="I43" s="1">
        <v>4</v>
      </c>
      <c r="J43" s="1">
        <v>151</v>
      </c>
      <c r="K43" s="1">
        <v>76</v>
      </c>
      <c r="L43" s="1">
        <v>35</v>
      </c>
      <c r="M43" s="1" t="s">
        <v>16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>
        <v>9042</v>
      </c>
      <c r="B44" s="1">
        <v>31</v>
      </c>
      <c r="C44" s="1" t="s">
        <v>13</v>
      </c>
      <c r="D44" s="1" t="s">
        <v>18</v>
      </c>
      <c r="E44" s="1" t="s">
        <v>22</v>
      </c>
      <c r="F44" s="2">
        <v>2.2400000000000002</v>
      </c>
      <c r="G44" s="1">
        <v>0</v>
      </c>
      <c r="H44" s="1" t="s">
        <v>16</v>
      </c>
      <c r="I44" s="1">
        <v>15</v>
      </c>
      <c r="J44" s="1">
        <v>68</v>
      </c>
      <c r="K44" s="1">
        <v>88</v>
      </c>
      <c r="L44" s="1">
        <v>39</v>
      </c>
      <c r="M44" s="1" t="s">
        <v>16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>
        <v>9043</v>
      </c>
      <c r="B45" s="1">
        <v>18</v>
      </c>
      <c r="C45" s="1" t="s">
        <v>13</v>
      </c>
      <c r="D45" s="1" t="s">
        <v>14</v>
      </c>
      <c r="E45" s="1" t="s">
        <v>24</v>
      </c>
      <c r="F45" s="2">
        <v>13.15</v>
      </c>
      <c r="G45" s="1">
        <v>0</v>
      </c>
      <c r="H45" s="1" t="s">
        <v>16</v>
      </c>
      <c r="I45" s="1">
        <v>12</v>
      </c>
      <c r="J45" s="1">
        <v>115</v>
      </c>
      <c r="K45" s="1">
        <v>98</v>
      </c>
      <c r="L45" s="1">
        <v>7</v>
      </c>
      <c r="M45" s="1" t="s">
        <v>16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>
        <v>9044</v>
      </c>
      <c r="B46" s="1">
        <v>16</v>
      </c>
      <c r="C46" s="1" t="s">
        <v>17</v>
      </c>
      <c r="D46" s="1" t="s">
        <v>23</v>
      </c>
      <c r="E46" s="1" t="s">
        <v>22</v>
      </c>
      <c r="F46" s="2">
        <v>2.61</v>
      </c>
      <c r="G46" s="1">
        <v>0</v>
      </c>
      <c r="H46" s="1" t="s">
        <v>20</v>
      </c>
      <c r="I46" s="1">
        <v>14</v>
      </c>
      <c r="J46" s="1">
        <v>149</v>
      </c>
      <c r="K46" s="1">
        <v>10</v>
      </c>
      <c r="L46" s="1">
        <v>34</v>
      </c>
      <c r="M46" s="1" t="s">
        <v>21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>
        <v>9045</v>
      </c>
      <c r="B47" s="1">
        <v>20</v>
      </c>
      <c r="C47" s="1" t="s">
        <v>13</v>
      </c>
      <c r="D47" s="1" t="s">
        <v>27</v>
      </c>
      <c r="E47" s="1" t="s">
        <v>24</v>
      </c>
      <c r="F47" s="2">
        <v>16.579999999999998</v>
      </c>
      <c r="G47" s="1">
        <v>0</v>
      </c>
      <c r="H47" s="1" t="s">
        <v>16</v>
      </c>
      <c r="I47" s="1">
        <v>19</v>
      </c>
      <c r="J47" s="1">
        <v>65</v>
      </c>
      <c r="K47" s="1">
        <v>34</v>
      </c>
      <c r="L47" s="1">
        <v>46</v>
      </c>
      <c r="M47" s="1" t="s">
        <v>16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>
        <v>9046</v>
      </c>
      <c r="B48" s="1">
        <v>18</v>
      </c>
      <c r="C48" s="1" t="s">
        <v>13</v>
      </c>
      <c r="D48" s="1" t="s">
        <v>18</v>
      </c>
      <c r="E48" s="1" t="s">
        <v>24</v>
      </c>
      <c r="F48" s="2">
        <v>15.65</v>
      </c>
      <c r="G48" s="1">
        <v>0</v>
      </c>
      <c r="H48" s="1" t="s">
        <v>20</v>
      </c>
      <c r="I48" s="1">
        <v>17</v>
      </c>
      <c r="J48" s="1">
        <v>176</v>
      </c>
      <c r="K48" s="1">
        <v>45</v>
      </c>
      <c r="L48" s="1">
        <v>43</v>
      </c>
      <c r="M48" s="1" t="s">
        <v>21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>
        <v>9047</v>
      </c>
      <c r="B49" s="1">
        <v>43</v>
      </c>
      <c r="C49" s="1" t="s">
        <v>13</v>
      </c>
      <c r="D49" s="1" t="s">
        <v>18</v>
      </c>
      <c r="E49" s="1" t="s">
        <v>15</v>
      </c>
      <c r="F49" s="2">
        <v>1.59</v>
      </c>
      <c r="G49" s="1">
        <v>0</v>
      </c>
      <c r="H49" s="1" t="s">
        <v>16</v>
      </c>
      <c r="I49" s="1">
        <v>3</v>
      </c>
      <c r="J49" s="1">
        <v>31</v>
      </c>
      <c r="K49" s="1">
        <v>73</v>
      </c>
      <c r="L49" s="1">
        <v>49</v>
      </c>
      <c r="M49" s="1" t="s">
        <v>25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>
        <v>9048</v>
      </c>
      <c r="B50" s="1">
        <v>32</v>
      </c>
      <c r="C50" s="1" t="s">
        <v>17</v>
      </c>
      <c r="D50" s="1" t="s">
        <v>18</v>
      </c>
      <c r="E50" s="1" t="s">
        <v>19</v>
      </c>
      <c r="F50" s="2">
        <v>11.19</v>
      </c>
      <c r="G50" s="1">
        <v>0</v>
      </c>
      <c r="H50" s="1" t="s">
        <v>20</v>
      </c>
      <c r="I50" s="1">
        <v>19</v>
      </c>
      <c r="J50" s="1">
        <v>77</v>
      </c>
      <c r="K50" s="1">
        <v>51</v>
      </c>
      <c r="L50" s="1">
        <v>38</v>
      </c>
      <c r="M50" s="1" t="s">
        <v>21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>
        <v>9049</v>
      </c>
      <c r="B51" s="1">
        <v>40</v>
      </c>
      <c r="C51" s="1" t="s">
        <v>13</v>
      </c>
      <c r="D51" s="1" t="s">
        <v>23</v>
      </c>
      <c r="E51" s="1" t="s">
        <v>19</v>
      </c>
      <c r="F51" s="2">
        <v>17.059999999999999</v>
      </c>
      <c r="G51" s="1">
        <v>0</v>
      </c>
      <c r="H51" s="1" t="s">
        <v>26</v>
      </c>
      <c r="I51" s="1">
        <v>8</v>
      </c>
      <c r="J51" s="1">
        <v>94</v>
      </c>
      <c r="K51" s="1">
        <v>31</v>
      </c>
      <c r="L51" s="1">
        <v>13</v>
      </c>
      <c r="M51" s="1" t="s">
        <v>16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>
        <v>9050</v>
      </c>
      <c r="B52" s="1">
        <v>48</v>
      </c>
      <c r="C52" s="1" t="s">
        <v>13</v>
      </c>
      <c r="D52" s="1" t="s">
        <v>14</v>
      </c>
      <c r="E52" s="1" t="s">
        <v>24</v>
      </c>
      <c r="F52" s="2">
        <v>19.21</v>
      </c>
      <c r="G52" s="1">
        <v>0</v>
      </c>
      <c r="H52" s="1" t="s">
        <v>26</v>
      </c>
      <c r="I52" s="1">
        <v>3</v>
      </c>
      <c r="J52" s="1">
        <v>146</v>
      </c>
      <c r="K52" s="1">
        <v>22</v>
      </c>
      <c r="L52" s="1">
        <v>32</v>
      </c>
      <c r="M52" s="1" t="s">
        <v>16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>
        <v>9051</v>
      </c>
      <c r="B53" s="1">
        <v>24</v>
      </c>
      <c r="C53" s="1" t="s">
        <v>13</v>
      </c>
      <c r="D53" s="1" t="s">
        <v>18</v>
      </c>
      <c r="E53" s="1" t="s">
        <v>19</v>
      </c>
      <c r="F53" s="2">
        <v>0.87</v>
      </c>
      <c r="G53" s="1">
        <v>0</v>
      </c>
      <c r="H53" s="1" t="s">
        <v>16</v>
      </c>
      <c r="I53" s="1">
        <v>8</v>
      </c>
      <c r="J53" s="1">
        <v>45</v>
      </c>
      <c r="K53" s="1">
        <v>19</v>
      </c>
      <c r="L53" s="1">
        <v>21</v>
      </c>
      <c r="M53" s="1" t="s">
        <v>21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>
        <v>9052</v>
      </c>
      <c r="B54" s="1">
        <v>28</v>
      </c>
      <c r="C54" s="1" t="s">
        <v>13</v>
      </c>
      <c r="D54" s="1" t="s">
        <v>23</v>
      </c>
      <c r="E54" s="1" t="s">
        <v>28</v>
      </c>
      <c r="F54" s="2">
        <v>11.21</v>
      </c>
      <c r="G54" s="1">
        <v>0</v>
      </c>
      <c r="H54" s="1" t="s">
        <v>20</v>
      </c>
      <c r="I54" s="1">
        <v>8</v>
      </c>
      <c r="J54" s="1">
        <v>134</v>
      </c>
      <c r="K54" s="1">
        <v>64</v>
      </c>
      <c r="L54" s="1">
        <v>25</v>
      </c>
      <c r="M54" s="1" t="s">
        <v>16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>
        <v>9053</v>
      </c>
      <c r="B55" s="1">
        <v>45</v>
      </c>
      <c r="C55" s="1" t="s">
        <v>13</v>
      </c>
      <c r="D55" s="1" t="s">
        <v>23</v>
      </c>
      <c r="E55" s="1" t="s">
        <v>28</v>
      </c>
      <c r="F55" s="2">
        <v>23.7</v>
      </c>
      <c r="G55" s="1">
        <v>1</v>
      </c>
      <c r="H55" s="1" t="s">
        <v>20</v>
      </c>
      <c r="I55" s="1">
        <v>1</v>
      </c>
      <c r="J55" s="1">
        <v>50</v>
      </c>
      <c r="K55" s="1">
        <v>95</v>
      </c>
      <c r="L55" s="1">
        <v>26</v>
      </c>
      <c r="M55" s="1" t="s">
        <v>25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>
        <v>9054</v>
      </c>
      <c r="B56" s="1">
        <v>29</v>
      </c>
      <c r="C56" s="1" t="s">
        <v>13</v>
      </c>
      <c r="D56" s="1" t="s">
        <v>23</v>
      </c>
      <c r="E56" s="1" t="s">
        <v>24</v>
      </c>
      <c r="F56" s="2">
        <v>9.2100000000000009</v>
      </c>
      <c r="G56" s="1">
        <v>1</v>
      </c>
      <c r="H56" s="1" t="s">
        <v>20</v>
      </c>
      <c r="I56" s="1">
        <v>15</v>
      </c>
      <c r="J56" s="1">
        <v>171</v>
      </c>
      <c r="K56" s="1">
        <v>6</v>
      </c>
      <c r="L56" s="1">
        <v>16</v>
      </c>
      <c r="M56" s="1" t="s">
        <v>21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>
        <v>9055</v>
      </c>
      <c r="B57" s="1">
        <v>22</v>
      </c>
      <c r="C57" s="1" t="s">
        <v>17</v>
      </c>
      <c r="D57" s="1" t="s">
        <v>18</v>
      </c>
      <c r="E57" s="1" t="s">
        <v>24</v>
      </c>
      <c r="F57" s="2">
        <v>12.88</v>
      </c>
      <c r="G57" s="1">
        <v>1</v>
      </c>
      <c r="H57" s="1" t="s">
        <v>20</v>
      </c>
      <c r="I57" s="1">
        <v>8</v>
      </c>
      <c r="J57" s="1">
        <v>46</v>
      </c>
      <c r="K57" s="1">
        <v>8</v>
      </c>
      <c r="L57" s="1">
        <v>0</v>
      </c>
      <c r="M57" s="1" t="s">
        <v>16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>
        <v>9056</v>
      </c>
      <c r="B58" s="1">
        <v>28</v>
      </c>
      <c r="C58" s="1" t="s">
        <v>13</v>
      </c>
      <c r="D58" s="1" t="s">
        <v>18</v>
      </c>
      <c r="E58" s="1" t="s">
        <v>28</v>
      </c>
      <c r="F58" s="2">
        <v>7.18</v>
      </c>
      <c r="G58" s="1">
        <v>0</v>
      </c>
      <c r="H58" s="1" t="s">
        <v>20</v>
      </c>
      <c r="I58" s="1">
        <v>8</v>
      </c>
      <c r="J58" s="1">
        <v>139</v>
      </c>
      <c r="K58" s="1">
        <v>20</v>
      </c>
      <c r="L58" s="1">
        <v>1</v>
      </c>
      <c r="M58" s="1" t="s">
        <v>16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>
        <v>9057</v>
      </c>
      <c r="B59" s="1">
        <v>37</v>
      </c>
      <c r="C59" s="1" t="s">
        <v>13</v>
      </c>
      <c r="D59" s="1" t="s">
        <v>18</v>
      </c>
      <c r="E59" s="1" t="s">
        <v>28</v>
      </c>
      <c r="F59" s="2">
        <v>1.32</v>
      </c>
      <c r="G59" s="1">
        <v>1</v>
      </c>
      <c r="H59" s="1" t="s">
        <v>20</v>
      </c>
      <c r="I59" s="1">
        <v>15</v>
      </c>
      <c r="J59" s="1">
        <v>36</v>
      </c>
      <c r="K59" s="1">
        <v>88</v>
      </c>
      <c r="L59" s="1">
        <v>36</v>
      </c>
      <c r="M59" s="1" t="s">
        <v>16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>
        <v>9058</v>
      </c>
      <c r="B60" s="1">
        <v>35</v>
      </c>
      <c r="C60" s="1" t="s">
        <v>13</v>
      </c>
      <c r="D60" s="1" t="s">
        <v>18</v>
      </c>
      <c r="E60" s="1" t="s">
        <v>28</v>
      </c>
      <c r="F60" s="2">
        <v>21.68</v>
      </c>
      <c r="G60" s="1">
        <v>0</v>
      </c>
      <c r="H60" s="1" t="s">
        <v>20</v>
      </c>
      <c r="I60" s="1">
        <v>15</v>
      </c>
      <c r="J60" s="1">
        <v>148</v>
      </c>
      <c r="K60" s="1">
        <v>73</v>
      </c>
      <c r="L60" s="1">
        <v>43</v>
      </c>
      <c r="M60" s="1" t="s">
        <v>21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>
        <v>9059</v>
      </c>
      <c r="B61" s="1">
        <v>30</v>
      </c>
      <c r="C61" s="1" t="s">
        <v>17</v>
      </c>
      <c r="D61" s="1" t="s">
        <v>18</v>
      </c>
      <c r="E61" s="1" t="s">
        <v>15</v>
      </c>
      <c r="F61" s="2">
        <v>15.15</v>
      </c>
      <c r="G61" s="1">
        <v>0</v>
      </c>
      <c r="H61" s="1" t="s">
        <v>20</v>
      </c>
      <c r="I61" s="1">
        <v>9</v>
      </c>
      <c r="J61" s="1">
        <v>153</v>
      </c>
      <c r="K61" s="1">
        <v>46</v>
      </c>
      <c r="L61" s="1">
        <v>19</v>
      </c>
      <c r="M61" s="1" t="s">
        <v>16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>
        <v>9060</v>
      </c>
      <c r="B62" s="1">
        <v>32</v>
      </c>
      <c r="C62" s="1" t="s">
        <v>13</v>
      </c>
      <c r="D62" s="1" t="s">
        <v>18</v>
      </c>
      <c r="E62" s="1" t="s">
        <v>22</v>
      </c>
      <c r="F62" s="2">
        <v>12.55</v>
      </c>
      <c r="G62" s="1">
        <v>0</v>
      </c>
      <c r="H62" s="1" t="s">
        <v>26</v>
      </c>
      <c r="I62" s="1">
        <v>11</v>
      </c>
      <c r="J62" s="1">
        <v>138</v>
      </c>
      <c r="K62" s="1">
        <v>27</v>
      </c>
      <c r="L62" s="1">
        <v>13</v>
      </c>
      <c r="M62" s="1" t="s">
        <v>21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>
        <v>9061</v>
      </c>
      <c r="B63" s="1">
        <v>38</v>
      </c>
      <c r="C63" s="1" t="s">
        <v>17</v>
      </c>
      <c r="D63" s="1" t="s">
        <v>18</v>
      </c>
      <c r="E63" s="1" t="s">
        <v>15</v>
      </c>
      <c r="F63" s="2">
        <v>19.46</v>
      </c>
      <c r="G63" s="1">
        <v>0</v>
      </c>
      <c r="H63" s="1" t="s">
        <v>16</v>
      </c>
      <c r="I63" s="1">
        <v>19</v>
      </c>
      <c r="J63" s="1">
        <v>155</v>
      </c>
      <c r="K63" s="1">
        <v>35</v>
      </c>
      <c r="L63" s="1">
        <v>30</v>
      </c>
      <c r="M63" s="1" t="s">
        <v>21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>
        <v>9062</v>
      </c>
      <c r="B64" s="1">
        <v>40</v>
      </c>
      <c r="C64" s="1" t="s">
        <v>17</v>
      </c>
      <c r="D64" s="1" t="s">
        <v>23</v>
      </c>
      <c r="E64" s="1" t="s">
        <v>28</v>
      </c>
      <c r="F64" s="2">
        <v>3.52</v>
      </c>
      <c r="G64" s="1">
        <v>0</v>
      </c>
      <c r="H64" s="1" t="s">
        <v>20</v>
      </c>
      <c r="I64" s="1">
        <v>2</v>
      </c>
      <c r="J64" s="1">
        <v>94</v>
      </c>
      <c r="K64" s="1">
        <v>76</v>
      </c>
      <c r="L64" s="1">
        <v>42</v>
      </c>
      <c r="M64" s="1" t="s">
        <v>16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>
        <v>9063</v>
      </c>
      <c r="B65" s="1">
        <v>39</v>
      </c>
      <c r="C65" s="1" t="s">
        <v>13</v>
      </c>
      <c r="D65" s="1" t="s">
        <v>14</v>
      </c>
      <c r="E65" s="1" t="s">
        <v>22</v>
      </c>
      <c r="F65" s="2">
        <v>20.85</v>
      </c>
      <c r="G65" s="1">
        <v>0</v>
      </c>
      <c r="H65" s="1" t="s">
        <v>26</v>
      </c>
      <c r="I65" s="1">
        <v>16</v>
      </c>
      <c r="J65" s="1">
        <v>140</v>
      </c>
      <c r="K65" s="1">
        <v>10</v>
      </c>
      <c r="L65" s="1">
        <v>16</v>
      </c>
      <c r="M65" s="1" t="s">
        <v>21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>
        <v>9064</v>
      </c>
      <c r="B66" s="1">
        <v>43</v>
      </c>
      <c r="C66" s="1" t="s">
        <v>13</v>
      </c>
      <c r="D66" s="1" t="s">
        <v>14</v>
      </c>
      <c r="E66" s="1" t="s">
        <v>19</v>
      </c>
      <c r="F66" s="2">
        <v>14.62</v>
      </c>
      <c r="G66" s="1">
        <v>0</v>
      </c>
      <c r="H66" s="1" t="s">
        <v>20</v>
      </c>
      <c r="I66" s="1">
        <v>1</v>
      </c>
      <c r="J66" s="1">
        <v>16</v>
      </c>
      <c r="K66" s="1">
        <v>38</v>
      </c>
      <c r="L66" s="1">
        <v>43</v>
      </c>
      <c r="M66" s="1" t="s">
        <v>25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>
        <v>9065</v>
      </c>
      <c r="B67" s="1">
        <v>29</v>
      </c>
      <c r="C67" s="1" t="s">
        <v>17</v>
      </c>
      <c r="D67" s="1" t="s">
        <v>18</v>
      </c>
      <c r="E67" s="1" t="s">
        <v>28</v>
      </c>
      <c r="F67" s="2">
        <v>17</v>
      </c>
      <c r="G67" s="1">
        <v>1</v>
      </c>
      <c r="H67" s="1" t="s">
        <v>20</v>
      </c>
      <c r="I67" s="1">
        <v>16</v>
      </c>
      <c r="J67" s="1">
        <v>135</v>
      </c>
      <c r="K67" s="1">
        <v>80</v>
      </c>
      <c r="L67" s="1">
        <v>43</v>
      </c>
      <c r="M67" s="1" t="s">
        <v>21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>
        <v>9066</v>
      </c>
      <c r="B68" s="1">
        <v>15</v>
      </c>
      <c r="C68" s="1" t="s">
        <v>17</v>
      </c>
      <c r="D68" s="1" t="s">
        <v>18</v>
      </c>
      <c r="E68" s="1" t="s">
        <v>28</v>
      </c>
      <c r="F68" s="2">
        <v>14.89</v>
      </c>
      <c r="G68" s="1">
        <v>0</v>
      </c>
      <c r="H68" s="1" t="s">
        <v>20</v>
      </c>
      <c r="I68" s="1">
        <v>6</v>
      </c>
      <c r="J68" s="1">
        <v>49</v>
      </c>
      <c r="K68" s="1">
        <v>58</v>
      </c>
      <c r="L68" s="1">
        <v>42</v>
      </c>
      <c r="M68" s="1" t="s">
        <v>16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>
        <v>9067</v>
      </c>
      <c r="B69" s="1">
        <v>39</v>
      </c>
      <c r="C69" s="1" t="s">
        <v>17</v>
      </c>
      <c r="D69" s="1" t="s">
        <v>14</v>
      </c>
      <c r="E69" s="1" t="s">
        <v>19</v>
      </c>
      <c r="F69" s="2">
        <v>19.75</v>
      </c>
      <c r="G69" s="1">
        <v>0</v>
      </c>
      <c r="H69" s="1" t="s">
        <v>16</v>
      </c>
      <c r="I69" s="1">
        <v>7</v>
      </c>
      <c r="J69" s="1">
        <v>46</v>
      </c>
      <c r="K69" s="1">
        <v>26</v>
      </c>
      <c r="L69" s="1">
        <v>47</v>
      </c>
      <c r="M69" s="1" t="s">
        <v>16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>
        <v>9068</v>
      </c>
      <c r="B70" s="1">
        <v>21</v>
      </c>
      <c r="C70" s="1" t="s">
        <v>17</v>
      </c>
      <c r="D70" s="1" t="s">
        <v>23</v>
      </c>
      <c r="E70" s="1" t="s">
        <v>22</v>
      </c>
      <c r="F70" s="2">
        <v>19.02</v>
      </c>
      <c r="G70" s="1">
        <v>0</v>
      </c>
      <c r="H70" s="1" t="s">
        <v>20</v>
      </c>
      <c r="I70" s="1">
        <v>13</v>
      </c>
      <c r="J70" s="1">
        <v>30</v>
      </c>
      <c r="K70" s="1">
        <v>3</v>
      </c>
      <c r="L70" s="1">
        <v>40</v>
      </c>
      <c r="M70" s="1" t="s">
        <v>16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>
        <v>9069</v>
      </c>
      <c r="B71" s="1">
        <v>23</v>
      </c>
      <c r="C71" s="1" t="s">
        <v>13</v>
      </c>
      <c r="D71" s="1" t="s">
        <v>14</v>
      </c>
      <c r="E71" s="1" t="s">
        <v>28</v>
      </c>
      <c r="F71" s="2">
        <v>13.72</v>
      </c>
      <c r="G71" s="1">
        <v>1</v>
      </c>
      <c r="H71" s="1" t="s">
        <v>16</v>
      </c>
      <c r="I71" s="1">
        <v>17</v>
      </c>
      <c r="J71" s="1">
        <v>167</v>
      </c>
      <c r="K71" s="1">
        <v>72</v>
      </c>
      <c r="L71" s="1">
        <v>24</v>
      </c>
      <c r="M71" s="1" t="s">
        <v>21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>
        <v>9070</v>
      </c>
      <c r="B72" s="1">
        <v>38</v>
      </c>
      <c r="C72" s="1" t="s">
        <v>17</v>
      </c>
      <c r="D72" s="1" t="s">
        <v>23</v>
      </c>
      <c r="E72" s="1" t="s">
        <v>22</v>
      </c>
      <c r="F72" s="2">
        <v>20.16</v>
      </c>
      <c r="G72" s="1">
        <v>0</v>
      </c>
      <c r="H72" s="1" t="s">
        <v>20</v>
      </c>
      <c r="I72" s="1">
        <v>13</v>
      </c>
      <c r="J72" s="1">
        <v>79</v>
      </c>
      <c r="K72" s="1">
        <v>29</v>
      </c>
      <c r="L72" s="1">
        <v>32</v>
      </c>
      <c r="M72" s="1" t="s">
        <v>16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>
        <v>9071</v>
      </c>
      <c r="B73" s="1">
        <v>15</v>
      </c>
      <c r="C73" s="1" t="s">
        <v>13</v>
      </c>
      <c r="D73" s="1" t="s">
        <v>27</v>
      </c>
      <c r="E73" s="1" t="s">
        <v>15</v>
      </c>
      <c r="F73" s="2">
        <v>18.850000000000001</v>
      </c>
      <c r="G73" s="1">
        <v>0</v>
      </c>
      <c r="H73" s="1" t="s">
        <v>16</v>
      </c>
      <c r="I73" s="1">
        <v>7</v>
      </c>
      <c r="J73" s="1">
        <v>111</v>
      </c>
      <c r="K73" s="1">
        <v>45</v>
      </c>
      <c r="L73" s="1">
        <v>2</v>
      </c>
      <c r="M73" s="1" t="s">
        <v>16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>
        <v>9072</v>
      </c>
      <c r="B74" s="1">
        <v>22</v>
      </c>
      <c r="C74" s="1" t="s">
        <v>13</v>
      </c>
      <c r="D74" s="1" t="s">
        <v>23</v>
      </c>
      <c r="E74" s="1" t="s">
        <v>24</v>
      </c>
      <c r="F74" s="2">
        <v>12.08</v>
      </c>
      <c r="G74" s="1">
        <v>1</v>
      </c>
      <c r="H74" s="1" t="s">
        <v>20</v>
      </c>
      <c r="I74" s="1">
        <v>7</v>
      </c>
      <c r="J74" s="1">
        <v>79</v>
      </c>
      <c r="K74" s="1">
        <v>46</v>
      </c>
      <c r="L74" s="1">
        <v>32</v>
      </c>
      <c r="M74" s="1" t="s">
        <v>16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>
        <v>9073</v>
      </c>
      <c r="B75" s="1">
        <v>38</v>
      </c>
      <c r="C75" s="1" t="s">
        <v>17</v>
      </c>
      <c r="D75" s="1" t="s">
        <v>23</v>
      </c>
      <c r="E75" s="1" t="s">
        <v>15</v>
      </c>
      <c r="F75" s="2">
        <v>2.2599999999999998</v>
      </c>
      <c r="G75" s="1">
        <v>0</v>
      </c>
      <c r="H75" s="1" t="s">
        <v>16</v>
      </c>
      <c r="I75" s="1">
        <v>12</v>
      </c>
      <c r="J75" s="1">
        <v>131</v>
      </c>
      <c r="K75" s="1">
        <v>12</v>
      </c>
      <c r="L75" s="1">
        <v>37</v>
      </c>
      <c r="M75" s="1" t="s">
        <v>21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>
        <v>9074</v>
      </c>
      <c r="B76" s="1">
        <v>25</v>
      </c>
      <c r="C76" s="1" t="s">
        <v>13</v>
      </c>
      <c r="D76" s="1" t="s">
        <v>23</v>
      </c>
      <c r="E76" s="1" t="s">
        <v>24</v>
      </c>
      <c r="F76" s="2">
        <v>20.818999999999999</v>
      </c>
      <c r="G76" s="1">
        <v>1</v>
      </c>
      <c r="H76" s="1" t="s">
        <v>20</v>
      </c>
      <c r="I76" s="1">
        <v>19</v>
      </c>
      <c r="J76" s="1">
        <v>109</v>
      </c>
      <c r="K76" s="1">
        <v>91</v>
      </c>
      <c r="L76" s="1">
        <v>48</v>
      </c>
      <c r="M76" s="1" t="s">
        <v>21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>
        <v>9075</v>
      </c>
      <c r="B77" s="1">
        <v>31</v>
      </c>
      <c r="C77" s="1" t="s">
        <v>13</v>
      </c>
      <c r="D77" s="1" t="s">
        <v>18</v>
      </c>
      <c r="E77" s="1" t="s">
        <v>28</v>
      </c>
      <c r="F77" s="2">
        <v>9</v>
      </c>
      <c r="G77" s="1">
        <v>0</v>
      </c>
      <c r="H77" s="1" t="s">
        <v>20</v>
      </c>
      <c r="I77" s="1">
        <v>14</v>
      </c>
      <c r="J77" s="1">
        <v>106</v>
      </c>
      <c r="K77" s="1">
        <v>23</v>
      </c>
      <c r="L77" s="1">
        <v>1</v>
      </c>
      <c r="M77" s="1" t="s">
        <v>21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>
        <v>9076</v>
      </c>
      <c r="B78" s="1">
        <v>22</v>
      </c>
      <c r="C78" s="1" t="s">
        <v>13</v>
      </c>
      <c r="D78" s="1" t="s">
        <v>27</v>
      </c>
      <c r="E78" s="1" t="s">
        <v>15</v>
      </c>
      <c r="F78" s="2">
        <v>19.66</v>
      </c>
      <c r="G78" s="1">
        <v>1</v>
      </c>
      <c r="H78" s="1" t="s">
        <v>16</v>
      </c>
      <c r="I78" s="1">
        <v>3</v>
      </c>
      <c r="J78" s="1">
        <v>29</v>
      </c>
      <c r="K78" s="1">
        <v>9</v>
      </c>
      <c r="L78" s="1">
        <v>30</v>
      </c>
      <c r="M78" s="1" t="s">
        <v>25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>
        <v>9077</v>
      </c>
      <c r="B79" s="1">
        <v>49</v>
      </c>
      <c r="C79" s="1" t="s">
        <v>13</v>
      </c>
      <c r="D79" s="1" t="s">
        <v>18</v>
      </c>
      <c r="E79" s="1" t="s">
        <v>15</v>
      </c>
      <c r="F79" s="2">
        <v>18.53</v>
      </c>
      <c r="G79" s="1">
        <v>1</v>
      </c>
      <c r="H79" s="1" t="s">
        <v>20</v>
      </c>
      <c r="I79" s="1">
        <v>0</v>
      </c>
      <c r="J79" s="1">
        <v>83</v>
      </c>
      <c r="K79" s="1">
        <v>15</v>
      </c>
      <c r="L79" s="1">
        <v>4</v>
      </c>
      <c r="M79" s="1" t="s">
        <v>25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>
        <v>9078</v>
      </c>
      <c r="B80" s="1">
        <v>49</v>
      </c>
      <c r="C80" s="1" t="s">
        <v>17</v>
      </c>
      <c r="D80" s="1" t="s">
        <v>18</v>
      </c>
      <c r="E80" s="1" t="s">
        <v>19</v>
      </c>
      <c r="F80" s="2">
        <v>2.04</v>
      </c>
      <c r="G80" s="1">
        <v>1</v>
      </c>
      <c r="H80" s="1" t="s">
        <v>20</v>
      </c>
      <c r="I80" s="1">
        <v>12</v>
      </c>
      <c r="J80" s="1">
        <v>70</v>
      </c>
      <c r="K80" s="1">
        <v>33</v>
      </c>
      <c r="L80" s="1">
        <v>33</v>
      </c>
      <c r="M80" s="1" t="s">
        <v>16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>
        <v>9079</v>
      </c>
      <c r="B81" s="1">
        <v>47</v>
      </c>
      <c r="C81" s="1" t="s">
        <v>13</v>
      </c>
      <c r="D81" s="1" t="s">
        <v>27</v>
      </c>
      <c r="E81" s="1" t="s">
        <v>24</v>
      </c>
      <c r="F81" s="2">
        <v>6.53</v>
      </c>
      <c r="G81" s="1">
        <v>0</v>
      </c>
      <c r="H81" s="1" t="s">
        <v>20</v>
      </c>
      <c r="I81" s="1">
        <v>10</v>
      </c>
      <c r="J81" s="1">
        <v>14</v>
      </c>
      <c r="K81" s="1">
        <v>15</v>
      </c>
      <c r="L81" s="1">
        <v>25</v>
      </c>
      <c r="M81" s="1" t="s">
        <v>25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>
        <v>9080</v>
      </c>
      <c r="B82" s="1">
        <v>19</v>
      </c>
      <c r="C82" s="1" t="s">
        <v>17</v>
      </c>
      <c r="D82" s="1" t="s">
        <v>23</v>
      </c>
      <c r="E82" s="1" t="s">
        <v>24</v>
      </c>
      <c r="F82" s="2">
        <v>19.86</v>
      </c>
      <c r="G82" s="1">
        <v>1</v>
      </c>
      <c r="H82" s="1" t="s">
        <v>20</v>
      </c>
      <c r="I82" s="1">
        <v>1</v>
      </c>
      <c r="J82" s="1">
        <v>139</v>
      </c>
      <c r="K82" s="1">
        <v>24</v>
      </c>
      <c r="L82" s="1">
        <v>0</v>
      </c>
      <c r="M82" s="1" t="s">
        <v>25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>
        <v>9081</v>
      </c>
      <c r="B83" s="1">
        <v>42</v>
      </c>
      <c r="C83" s="1" t="s">
        <v>13</v>
      </c>
      <c r="D83" s="1" t="s">
        <v>18</v>
      </c>
      <c r="E83" s="1" t="s">
        <v>28</v>
      </c>
      <c r="F83" s="2">
        <v>13.98</v>
      </c>
      <c r="G83" s="1">
        <v>0</v>
      </c>
      <c r="H83" s="1" t="s">
        <v>16</v>
      </c>
      <c r="I83" s="1">
        <v>12</v>
      </c>
      <c r="J83" s="1">
        <v>34</v>
      </c>
      <c r="K83" s="1">
        <v>14</v>
      </c>
      <c r="L83" s="1">
        <v>15</v>
      </c>
      <c r="M83" s="1" t="s">
        <v>16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>
        <v>9082</v>
      </c>
      <c r="B84" s="1">
        <v>21</v>
      </c>
      <c r="C84" s="1" t="s">
        <v>13</v>
      </c>
      <c r="D84" s="1" t="s">
        <v>18</v>
      </c>
      <c r="E84" s="1" t="s">
        <v>19</v>
      </c>
      <c r="F84" s="2">
        <v>7.74</v>
      </c>
      <c r="G84" s="1">
        <v>0</v>
      </c>
      <c r="H84" s="1" t="s">
        <v>20</v>
      </c>
      <c r="I84" s="1">
        <v>5</v>
      </c>
      <c r="J84" s="1">
        <v>77</v>
      </c>
      <c r="K84" s="1">
        <v>40</v>
      </c>
      <c r="L84" s="1">
        <v>38</v>
      </c>
      <c r="M84" s="1" t="s">
        <v>16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>
        <v>9083</v>
      </c>
      <c r="B85" s="1">
        <v>23</v>
      </c>
      <c r="C85" s="1" t="s">
        <v>13</v>
      </c>
      <c r="D85" s="1" t="s">
        <v>18</v>
      </c>
      <c r="E85" s="1" t="s">
        <v>19</v>
      </c>
      <c r="F85" s="2">
        <v>3.79</v>
      </c>
      <c r="G85" s="1">
        <v>1</v>
      </c>
      <c r="H85" s="1" t="s">
        <v>20</v>
      </c>
      <c r="I85" s="1">
        <v>12</v>
      </c>
      <c r="J85" s="1">
        <v>41</v>
      </c>
      <c r="K85" s="1">
        <v>73</v>
      </c>
      <c r="L85" s="1">
        <v>10</v>
      </c>
      <c r="M85" s="1" t="s">
        <v>16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>
        <v>9084</v>
      </c>
      <c r="B86" s="1">
        <v>22</v>
      </c>
      <c r="C86" s="1" t="s">
        <v>13</v>
      </c>
      <c r="D86" s="1" t="s">
        <v>18</v>
      </c>
      <c r="E86" s="1" t="s">
        <v>24</v>
      </c>
      <c r="F86" s="2">
        <v>10.39</v>
      </c>
      <c r="G86" s="1">
        <v>0</v>
      </c>
      <c r="H86" s="1" t="s">
        <v>20</v>
      </c>
      <c r="I86" s="1">
        <v>19</v>
      </c>
      <c r="J86" s="1">
        <v>102</v>
      </c>
      <c r="K86" s="1">
        <v>14</v>
      </c>
      <c r="L86" s="1">
        <v>24</v>
      </c>
      <c r="M86" s="1" t="s">
        <v>21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>
        <v>9085</v>
      </c>
      <c r="B87" s="1">
        <v>26</v>
      </c>
      <c r="C87" s="1" t="s">
        <v>13</v>
      </c>
      <c r="D87" s="1" t="s">
        <v>18</v>
      </c>
      <c r="E87" s="1" t="s">
        <v>19</v>
      </c>
      <c r="F87" s="2">
        <v>15.07</v>
      </c>
      <c r="G87" s="1">
        <v>0</v>
      </c>
      <c r="H87" s="1" t="s">
        <v>16</v>
      </c>
      <c r="I87" s="1">
        <v>4</v>
      </c>
      <c r="J87" s="1">
        <v>117</v>
      </c>
      <c r="K87" s="1">
        <v>4</v>
      </c>
      <c r="L87" s="1">
        <v>49</v>
      </c>
      <c r="M87" s="1" t="s">
        <v>16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>
        <v>9086</v>
      </c>
      <c r="B88" s="1">
        <v>48</v>
      </c>
      <c r="C88" s="1" t="s">
        <v>17</v>
      </c>
      <c r="D88" s="1" t="s">
        <v>27</v>
      </c>
      <c r="E88" s="1" t="s">
        <v>22</v>
      </c>
      <c r="F88" s="2">
        <v>8.4499999999999993</v>
      </c>
      <c r="G88" s="1">
        <v>1</v>
      </c>
      <c r="H88" s="1" t="s">
        <v>20</v>
      </c>
      <c r="I88" s="1">
        <v>3</v>
      </c>
      <c r="J88" s="1">
        <v>122</v>
      </c>
      <c r="K88" s="1">
        <v>89</v>
      </c>
      <c r="L88" s="1">
        <v>24</v>
      </c>
      <c r="M88" s="1" t="s">
        <v>16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>
        <v>9087</v>
      </c>
      <c r="B89" s="1">
        <v>47</v>
      </c>
      <c r="C89" s="1" t="s">
        <v>13</v>
      </c>
      <c r="D89" s="1" t="s">
        <v>23</v>
      </c>
      <c r="E89" s="1" t="s">
        <v>28</v>
      </c>
      <c r="F89" s="2">
        <v>14.43</v>
      </c>
      <c r="G89" s="1">
        <v>0</v>
      </c>
      <c r="H89" s="1" t="s">
        <v>26</v>
      </c>
      <c r="I89" s="1">
        <v>18</v>
      </c>
      <c r="J89" s="1">
        <v>14</v>
      </c>
      <c r="K89" s="1">
        <v>78</v>
      </c>
      <c r="L89" s="1">
        <v>4</v>
      </c>
      <c r="M89" s="1" t="s">
        <v>25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>
        <v>9088</v>
      </c>
      <c r="B90" s="1">
        <v>37</v>
      </c>
      <c r="C90" s="1" t="s">
        <v>13</v>
      </c>
      <c r="D90" s="1" t="s">
        <v>18</v>
      </c>
      <c r="E90" s="1" t="s">
        <v>15</v>
      </c>
      <c r="F90" s="2">
        <v>19.5</v>
      </c>
      <c r="G90" s="1">
        <v>0</v>
      </c>
      <c r="H90" s="1" t="s">
        <v>16</v>
      </c>
      <c r="I90" s="1">
        <v>11</v>
      </c>
      <c r="J90" s="1">
        <v>147</v>
      </c>
      <c r="K90" s="1">
        <v>40</v>
      </c>
      <c r="L90" s="1">
        <v>49</v>
      </c>
      <c r="M90" s="1" t="s">
        <v>21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>
        <v>9089</v>
      </c>
      <c r="B91" s="1">
        <v>38</v>
      </c>
      <c r="C91" s="1" t="s">
        <v>13</v>
      </c>
      <c r="D91" s="1" t="s">
        <v>23</v>
      </c>
      <c r="E91" s="1" t="s">
        <v>24</v>
      </c>
      <c r="F91" s="2">
        <v>6.49</v>
      </c>
      <c r="G91" s="1">
        <v>1</v>
      </c>
      <c r="H91" s="1" t="s">
        <v>16</v>
      </c>
      <c r="I91" s="1">
        <v>8</v>
      </c>
      <c r="J91" s="1">
        <v>107</v>
      </c>
      <c r="K91" s="1">
        <v>11</v>
      </c>
      <c r="L91" s="1">
        <v>7</v>
      </c>
      <c r="M91" s="1" t="s">
        <v>16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>
        <v>9090</v>
      </c>
      <c r="B92" s="1">
        <v>49</v>
      </c>
      <c r="C92" s="1" t="s">
        <v>13</v>
      </c>
      <c r="D92" s="1" t="s">
        <v>18</v>
      </c>
      <c r="E92" s="1" t="s">
        <v>19</v>
      </c>
      <c r="F92" s="2">
        <v>2.14</v>
      </c>
      <c r="G92" s="1">
        <v>0</v>
      </c>
      <c r="H92" s="1" t="s">
        <v>16</v>
      </c>
      <c r="I92" s="1">
        <v>14</v>
      </c>
      <c r="J92" s="1">
        <v>36</v>
      </c>
      <c r="K92" s="1">
        <v>59</v>
      </c>
      <c r="L92" s="1">
        <v>35</v>
      </c>
      <c r="M92" s="1" t="s">
        <v>16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>
        <v>9091</v>
      </c>
      <c r="B93" s="1">
        <v>36</v>
      </c>
      <c r="C93" s="1" t="s">
        <v>13</v>
      </c>
      <c r="D93" s="1" t="s">
        <v>18</v>
      </c>
      <c r="E93" s="1" t="s">
        <v>19</v>
      </c>
      <c r="F93" s="2">
        <v>4.3099999999999996</v>
      </c>
      <c r="G93" s="1">
        <v>0</v>
      </c>
      <c r="H93" s="1" t="s">
        <v>20</v>
      </c>
      <c r="I93" s="1">
        <v>1</v>
      </c>
      <c r="J93" s="1">
        <v>73</v>
      </c>
      <c r="K93" s="1">
        <v>76</v>
      </c>
      <c r="L93" s="1">
        <v>15</v>
      </c>
      <c r="M93" s="1" t="s">
        <v>25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>
        <v>9092</v>
      </c>
      <c r="B94" s="1">
        <v>41</v>
      </c>
      <c r="C94" s="1" t="s">
        <v>17</v>
      </c>
      <c r="D94" s="1" t="s">
        <v>23</v>
      </c>
      <c r="E94" s="1" t="s">
        <v>19</v>
      </c>
      <c r="F94" s="2">
        <v>5.69</v>
      </c>
      <c r="G94" s="1">
        <v>1</v>
      </c>
      <c r="H94" s="1" t="s">
        <v>20</v>
      </c>
      <c r="I94" s="1">
        <v>7</v>
      </c>
      <c r="J94" s="1">
        <v>12</v>
      </c>
      <c r="K94" s="1">
        <v>77</v>
      </c>
      <c r="L94" s="1">
        <v>28</v>
      </c>
      <c r="M94" s="1" t="s">
        <v>25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>
        <v>9093</v>
      </c>
      <c r="B95" s="1">
        <v>49</v>
      </c>
      <c r="C95" s="1" t="s">
        <v>13</v>
      </c>
      <c r="D95" s="1" t="s">
        <v>27</v>
      </c>
      <c r="E95" s="1" t="s">
        <v>28</v>
      </c>
      <c r="F95" s="2">
        <v>3.1</v>
      </c>
      <c r="G95" s="1">
        <v>0</v>
      </c>
      <c r="H95" s="1" t="s">
        <v>20</v>
      </c>
      <c r="I95" s="1">
        <v>0</v>
      </c>
      <c r="J95" s="1">
        <v>99</v>
      </c>
      <c r="K95" s="1">
        <v>80</v>
      </c>
      <c r="L95" s="1">
        <v>42</v>
      </c>
      <c r="M95" s="1" t="s">
        <v>25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>
        <v>9094</v>
      </c>
      <c r="B96" s="1">
        <v>15</v>
      </c>
      <c r="C96" s="1" t="s">
        <v>13</v>
      </c>
      <c r="D96" s="1" t="s">
        <v>27</v>
      </c>
      <c r="E96" s="1" t="s">
        <v>15</v>
      </c>
      <c r="F96" s="2">
        <v>9.74</v>
      </c>
      <c r="G96" s="1">
        <v>1</v>
      </c>
      <c r="H96" s="1" t="s">
        <v>26</v>
      </c>
      <c r="I96" s="1">
        <v>4</v>
      </c>
      <c r="J96" s="1">
        <v>32</v>
      </c>
      <c r="K96" s="1">
        <v>33</v>
      </c>
      <c r="L96" s="1">
        <v>42</v>
      </c>
      <c r="M96" s="1" t="s">
        <v>25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>
        <v>9095</v>
      </c>
      <c r="B97" s="1">
        <v>49</v>
      </c>
      <c r="C97" s="1" t="s">
        <v>13</v>
      </c>
      <c r="D97" s="1" t="s">
        <v>23</v>
      </c>
      <c r="E97" s="1" t="s">
        <v>19</v>
      </c>
      <c r="F97" s="2">
        <v>7.83</v>
      </c>
      <c r="G97" s="1">
        <v>0</v>
      </c>
      <c r="H97" s="1" t="s">
        <v>20</v>
      </c>
      <c r="I97" s="1">
        <v>19</v>
      </c>
      <c r="J97" s="1">
        <v>126</v>
      </c>
      <c r="K97" s="1">
        <v>3</v>
      </c>
      <c r="L97" s="1">
        <v>14</v>
      </c>
      <c r="M97" s="1" t="s">
        <v>21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>
        <v>9096</v>
      </c>
      <c r="B98" s="1">
        <v>28</v>
      </c>
      <c r="C98" s="1" t="s">
        <v>13</v>
      </c>
      <c r="D98" s="1" t="s">
        <v>18</v>
      </c>
      <c r="E98" s="1" t="s">
        <v>15</v>
      </c>
      <c r="F98" s="2">
        <v>9.1999999999999993</v>
      </c>
      <c r="G98" s="1">
        <v>1</v>
      </c>
      <c r="H98" s="1" t="s">
        <v>16</v>
      </c>
      <c r="I98" s="1">
        <v>1</v>
      </c>
      <c r="J98" s="1">
        <v>84</v>
      </c>
      <c r="K98" s="1">
        <v>61</v>
      </c>
      <c r="L98" s="1">
        <v>39</v>
      </c>
      <c r="M98" s="1" t="s">
        <v>25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>
        <v>9097</v>
      </c>
      <c r="B99" s="1">
        <v>17</v>
      </c>
      <c r="C99" s="1" t="s">
        <v>13</v>
      </c>
      <c r="D99" s="1" t="s">
        <v>23</v>
      </c>
      <c r="E99" s="1" t="s">
        <v>15</v>
      </c>
      <c r="F99" s="2">
        <v>8.6</v>
      </c>
      <c r="G99" s="1">
        <v>0</v>
      </c>
      <c r="H99" s="1" t="s">
        <v>20</v>
      </c>
      <c r="I99" s="1">
        <v>3</v>
      </c>
      <c r="J99" s="1">
        <v>117</v>
      </c>
      <c r="K99" s="1">
        <v>1</v>
      </c>
      <c r="L99" s="1">
        <v>11</v>
      </c>
      <c r="M99" s="1" t="s">
        <v>16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>
        <v>9098</v>
      </c>
      <c r="B100" s="1">
        <v>15</v>
      </c>
      <c r="C100" s="1" t="s">
        <v>17</v>
      </c>
      <c r="D100" s="1" t="s">
        <v>23</v>
      </c>
      <c r="E100" s="1" t="s">
        <v>28</v>
      </c>
      <c r="F100" s="2">
        <v>5.97</v>
      </c>
      <c r="G100" s="1">
        <v>0</v>
      </c>
      <c r="H100" s="1" t="s">
        <v>20</v>
      </c>
      <c r="I100" s="1">
        <v>11</v>
      </c>
      <c r="J100" s="1">
        <v>55</v>
      </c>
      <c r="K100" s="1">
        <v>54</v>
      </c>
      <c r="L100" s="1">
        <v>37</v>
      </c>
      <c r="M100" s="1" t="s">
        <v>16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>
        <v>9099</v>
      </c>
      <c r="B101" s="1">
        <v>19</v>
      </c>
      <c r="C101" s="1" t="s">
        <v>17</v>
      </c>
      <c r="D101" s="1" t="s">
        <v>18</v>
      </c>
      <c r="E101" s="1" t="s">
        <v>19</v>
      </c>
      <c r="F101" s="2">
        <v>15.37</v>
      </c>
      <c r="G101" s="1">
        <v>0</v>
      </c>
      <c r="H101" s="1" t="s">
        <v>26</v>
      </c>
      <c r="I101" s="1">
        <v>14</v>
      </c>
      <c r="J101" s="1">
        <v>93</v>
      </c>
      <c r="K101" s="1">
        <v>65</v>
      </c>
      <c r="L101" s="1">
        <v>42</v>
      </c>
      <c r="M101" s="1" t="s">
        <v>21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>
        <v>9100</v>
      </c>
      <c r="B102" s="1">
        <v>40</v>
      </c>
      <c r="C102" s="1" t="s">
        <v>13</v>
      </c>
      <c r="D102" s="1" t="s">
        <v>23</v>
      </c>
      <c r="E102" s="1" t="s">
        <v>19</v>
      </c>
      <c r="F102" s="2">
        <v>5.8</v>
      </c>
      <c r="G102" s="1">
        <v>0</v>
      </c>
      <c r="H102" s="1" t="s">
        <v>16</v>
      </c>
      <c r="I102" s="1">
        <v>5</v>
      </c>
      <c r="J102" s="1">
        <v>40</v>
      </c>
      <c r="K102" s="1">
        <v>89</v>
      </c>
      <c r="L102" s="1">
        <v>29</v>
      </c>
      <c r="M102" s="1" t="s">
        <v>16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>
        <v>9101</v>
      </c>
      <c r="B103" s="1">
        <v>28</v>
      </c>
      <c r="C103" s="1" t="s">
        <v>17</v>
      </c>
      <c r="D103" s="1" t="s">
        <v>23</v>
      </c>
      <c r="E103" s="1" t="s">
        <v>15</v>
      </c>
      <c r="F103" s="2">
        <v>22.35</v>
      </c>
      <c r="G103" s="1">
        <v>0</v>
      </c>
      <c r="H103" s="1" t="s">
        <v>26</v>
      </c>
      <c r="I103" s="1">
        <v>11</v>
      </c>
      <c r="J103" s="1">
        <v>109</v>
      </c>
      <c r="K103" s="1">
        <v>53</v>
      </c>
      <c r="L103" s="1">
        <v>18</v>
      </c>
      <c r="M103" s="1" t="s">
        <v>16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>
        <v>9102</v>
      </c>
      <c r="B104" s="1">
        <v>41</v>
      </c>
      <c r="C104" s="1" t="s">
        <v>13</v>
      </c>
      <c r="D104" s="1" t="s">
        <v>23</v>
      </c>
      <c r="E104" s="1" t="s">
        <v>19</v>
      </c>
      <c r="F104" s="2">
        <v>7.64</v>
      </c>
      <c r="G104" s="1">
        <v>0</v>
      </c>
      <c r="H104" s="1" t="s">
        <v>20</v>
      </c>
      <c r="I104" s="1">
        <v>2</v>
      </c>
      <c r="J104" s="1">
        <v>33</v>
      </c>
      <c r="K104" s="1">
        <v>54</v>
      </c>
      <c r="L104" s="1">
        <v>33</v>
      </c>
      <c r="M104" s="1" t="s">
        <v>25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>
        <v>9103</v>
      </c>
      <c r="B105" s="1">
        <v>23</v>
      </c>
      <c r="C105" s="1" t="s">
        <v>17</v>
      </c>
      <c r="D105" s="1" t="s">
        <v>23</v>
      </c>
      <c r="E105" s="1" t="s">
        <v>28</v>
      </c>
      <c r="F105" s="2">
        <v>22.87</v>
      </c>
      <c r="G105" s="1">
        <v>0</v>
      </c>
      <c r="H105" s="1" t="s">
        <v>16</v>
      </c>
      <c r="I105" s="1">
        <v>8</v>
      </c>
      <c r="J105" s="1">
        <v>91</v>
      </c>
      <c r="K105" s="1">
        <v>38</v>
      </c>
      <c r="L105" s="1">
        <v>14</v>
      </c>
      <c r="M105" s="1" t="s">
        <v>16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>
        <v>9104</v>
      </c>
      <c r="B106" s="1">
        <v>29</v>
      </c>
      <c r="C106" s="1" t="s">
        <v>17</v>
      </c>
      <c r="D106" s="1" t="s">
        <v>14</v>
      </c>
      <c r="E106" s="1" t="s">
        <v>19</v>
      </c>
      <c r="F106" s="2">
        <v>4.55</v>
      </c>
      <c r="G106" s="1">
        <v>0</v>
      </c>
      <c r="H106" s="1" t="s">
        <v>20</v>
      </c>
      <c r="I106" s="1">
        <v>16</v>
      </c>
      <c r="J106" s="1">
        <v>36</v>
      </c>
      <c r="K106" s="1">
        <v>22</v>
      </c>
      <c r="L106" s="1">
        <v>36</v>
      </c>
      <c r="M106" s="1" t="s">
        <v>16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>
        <v>9105</v>
      </c>
      <c r="B107" s="1">
        <v>29</v>
      </c>
      <c r="C107" s="1" t="s">
        <v>13</v>
      </c>
      <c r="D107" s="1" t="s">
        <v>23</v>
      </c>
      <c r="E107" s="1" t="s">
        <v>19</v>
      </c>
      <c r="F107" s="2">
        <v>2.06</v>
      </c>
      <c r="G107" s="1">
        <v>1</v>
      </c>
      <c r="H107" s="1" t="s">
        <v>20</v>
      </c>
      <c r="I107" s="1">
        <v>15</v>
      </c>
      <c r="J107" s="1">
        <v>101</v>
      </c>
      <c r="K107" s="1">
        <v>73</v>
      </c>
      <c r="L107" s="1">
        <v>45</v>
      </c>
      <c r="M107" s="1" t="s">
        <v>21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>
        <v>9106</v>
      </c>
      <c r="B108" s="1">
        <v>40</v>
      </c>
      <c r="C108" s="1" t="s">
        <v>13</v>
      </c>
      <c r="D108" s="1" t="s">
        <v>27</v>
      </c>
      <c r="E108" s="1" t="s">
        <v>19</v>
      </c>
      <c r="F108" s="2">
        <v>7.38</v>
      </c>
      <c r="G108" s="1">
        <v>0</v>
      </c>
      <c r="H108" s="1" t="s">
        <v>20</v>
      </c>
      <c r="I108" s="1">
        <v>15</v>
      </c>
      <c r="J108" s="1">
        <v>24</v>
      </c>
      <c r="K108" s="1">
        <v>56</v>
      </c>
      <c r="L108" s="1">
        <v>17</v>
      </c>
      <c r="M108" s="1" t="s">
        <v>16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>
        <v>9107</v>
      </c>
      <c r="B109" s="1">
        <v>27</v>
      </c>
      <c r="C109" s="1" t="s">
        <v>13</v>
      </c>
      <c r="D109" s="1" t="s">
        <v>14</v>
      </c>
      <c r="E109" s="1" t="s">
        <v>28</v>
      </c>
      <c r="F109" s="2">
        <v>7.73</v>
      </c>
      <c r="G109" s="1">
        <v>0</v>
      </c>
      <c r="H109" s="1" t="s">
        <v>26</v>
      </c>
      <c r="I109" s="1">
        <v>17</v>
      </c>
      <c r="J109" s="1">
        <v>72</v>
      </c>
      <c r="K109" s="1">
        <v>45</v>
      </c>
      <c r="L109" s="1">
        <v>48</v>
      </c>
      <c r="M109" s="1" t="s">
        <v>16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>
        <v>9108</v>
      </c>
      <c r="B110" s="1">
        <v>46</v>
      </c>
      <c r="C110" s="1" t="s">
        <v>13</v>
      </c>
      <c r="D110" s="1" t="s">
        <v>27</v>
      </c>
      <c r="E110" s="1" t="s">
        <v>15</v>
      </c>
      <c r="F110" s="2">
        <v>19.404</v>
      </c>
      <c r="G110" s="1">
        <v>1</v>
      </c>
      <c r="H110" s="1" t="s">
        <v>16</v>
      </c>
      <c r="I110" s="1">
        <v>9</v>
      </c>
      <c r="J110" s="1">
        <v>127</v>
      </c>
      <c r="K110" s="1">
        <v>75</v>
      </c>
      <c r="L110" s="1">
        <v>32</v>
      </c>
      <c r="M110" s="1" t="s">
        <v>16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>
        <v>9109</v>
      </c>
      <c r="B111" s="1">
        <v>46</v>
      </c>
      <c r="C111" s="1" t="s">
        <v>13</v>
      </c>
      <c r="D111" s="1" t="s">
        <v>14</v>
      </c>
      <c r="E111" s="1" t="s">
        <v>15</v>
      </c>
      <c r="F111" s="2">
        <v>18.55</v>
      </c>
      <c r="G111" s="1">
        <v>0</v>
      </c>
      <c r="H111" s="1" t="s">
        <v>20</v>
      </c>
      <c r="I111" s="1">
        <v>12</v>
      </c>
      <c r="J111" s="1">
        <v>96</v>
      </c>
      <c r="K111" s="1">
        <v>2</v>
      </c>
      <c r="L111" s="1">
        <v>21</v>
      </c>
      <c r="M111" s="1" t="s">
        <v>16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>
        <v>9110</v>
      </c>
      <c r="B112" s="1">
        <v>18</v>
      </c>
      <c r="C112" s="1" t="s">
        <v>17</v>
      </c>
      <c r="D112" s="1" t="s">
        <v>27</v>
      </c>
      <c r="E112" s="1" t="s">
        <v>19</v>
      </c>
      <c r="F112" s="2">
        <v>4.45</v>
      </c>
      <c r="G112" s="1">
        <v>0</v>
      </c>
      <c r="H112" s="1" t="s">
        <v>20</v>
      </c>
      <c r="I112" s="1">
        <v>16</v>
      </c>
      <c r="J112" s="1">
        <v>121</v>
      </c>
      <c r="K112" s="1">
        <v>10</v>
      </c>
      <c r="L112" s="1">
        <v>35</v>
      </c>
      <c r="M112" s="1" t="s">
        <v>21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>
        <v>9111</v>
      </c>
      <c r="B113" s="1">
        <v>44</v>
      </c>
      <c r="C113" s="1" t="s">
        <v>13</v>
      </c>
      <c r="D113" s="1" t="s">
        <v>18</v>
      </c>
      <c r="E113" s="1" t="s">
        <v>28</v>
      </c>
      <c r="F113" s="2">
        <v>22.14</v>
      </c>
      <c r="G113" s="1">
        <v>0</v>
      </c>
      <c r="H113" s="1" t="s">
        <v>26</v>
      </c>
      <c r="I113" s="1">
        <v>7</v>
      </c>
      <c r="J113" s="1">
        <v>60</v>
      </c>
      <c r="K113" s="1">
        <v>5</v>
      </c>
      <c r="L113" s="1">
        <v>30</v>
      </c>
      <c r="M113" s="1" t="s">
        <v>16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>
        <v>9112</v>
      </c>
      <c r="B114" s="1">
        <v>37</v>
      </c>
      <c r="C114" s="1" t="s">
        <v>13</v>
      </c>
      <c r="D114" s="1" t="s">
        <v>18</v>
      </c>
      <c r="E114" s="1" t="s">
        <v>19</v>
      </c>
      <c r="F114" s="2">
        <v>8.49</v>
      </c>
      <c r="G114" s="1">
        <v>0</v>
      </c>
      <c r="H114" s="1" t="s">
        <v>16</v>
      </c>
      <c r="I114" s="1">
        <v>18</v>
      </c>
      <c r="J114" s="1">
        <v>145</v>
      </c>
      <c r="K114" s="1">
        <v>88</v>
      </c>
      <c r="L114" s="1">
        <v>15</v>
      </c>
      <c r="M114" s="1" t="s">
        <v>21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>
        <v>9113</v>
      </c>
      <c r="B115" s="1">
        <v>29</v>
      </c>
      <c r="C115" s="1" t="s">
        <v>17</v>
      </c>
      <c r="D115" s="1" t="s">
        <v>18</v>
      </c>
      <c r="E115" s="1" t="s">
        <v>28</v>
      </c>
      <c r="F115" s="2">
        <v>23.69</v>
      </c>
      <c r="G115" s="1">
        <v>0</v>
      </c>
      <c r="H115" s="1" t="s">
        <v>16</v>
      </c>
      <c r="I115" s="1">
        <v>3</v>
      </c>
      <c r="J115" s="1">
        <v>51</v>
      </c>
      <c r="K115" s="1">
        <v>72</v>
      </c>
      <c r="L115" s="1">
        <v>44</v>
      </c>
      <c r="M115" s="1" t="s">
        <v>25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>
        <v>9114</v>
      </c>
      <c r="B116" s="1">
        <v>43</v>
      </c>
      <c r="C116" s="1" t="s">
        <v>17</v>
      </c>
      <c r="D116" s="1" t="s">
        <v>18</v>
      </c>
      <c r="E116" s="1" t="s">
        <v>28</v>
      </c>
      <c r="F116" s="2">
        <v>23.16</v>
      </c>
      <c r="G116" s="1">
        <v>0</v>
      </c>
      <c r="H116" s="1" t="s">
        <v>20</v>
      </c>
      <c r="I116" s="1">
        <v>14</v>
      </c>
      <c r="J116" s="1">
        <v>96</v>
      </c>
      <c r="K116" s="1">
        <v>42</v>
      </c>
      <c r="L116" s="1">
        <v>47</v>
      </c>
      <c r="M116" s="1" t="s">
        <v>21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>
        <v>9115</v>
      </c>
      <c r="B117" s="1">
        <v>27</v>
      </c>
      <c r="C117" s="1" t="s">
        <v>13</v>
      </c>
      <c r="D117" s="1" t="s">
        <v>18</v>
      </c>
      <c r="E117" s="1" t="s">
        <v>15</v>
      </c>
      <c r="F117" s="2">
        <v>6.54</v>
      </c>
      <c r="G117" s="1">
        <v>0</v>
      </c>
      <c r="H117" s="1" t="s">
        <v>26</v>
      </c>
      <c r="I117" s="1">
        <v>18</v>
      </c>
      <c r="J117" s="1">
        <v>111</v>
      </c>
      <c r="K117" s="1">
        <v>34</v>
      </c>
      <c r="L117" s="1">
        <v>9</v>
      </c>
      <c r="M117" s="1" t="s">
        <v>21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>
        <v>9116</v>
      </c>
      <c r="B118" s="1">
        <v>46</v>
      </c>
      <c r="C118" s="1" t="s">
        <v>17</v>
      </c>
      <c r="D118" s="1" t="s">
        <v>27</v>
      </c>
      <c r="E118" s="1" t="s">
        <v>22</v>
      </c>
      <c r="F118" s="2">
        <v>10.82</v>
      </c>
      <c r="G118" s="1">
        <v>0</v>
      </c>
      <c r="H118" s="1" t="s">
        <v>16</v>
      </c>
      <c r="I118" s="1">
        <v>12</v>
      </c>
      <c r="J118" s="1">
        <v>142</v>
      </c>
      <c r="K118" s="1">
        <v>24</v>
      </c>
      <c r="L118" s="1">
        <v>18</v>
      </c>
      <c r="M118" s="1" t="s">
        <v>21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>
        <v>9117</v>
      </c>
      <c r="B119" s="1">
        <v>21</v>
      </c>
      <c r="C119" s="1" t="s">
        <v>17</v>
      </c>
      <c r="D119" s="1" t="s">
        <v>18</v>
      </c>
      <c r="E119" s="1" t="s">
        <v>22</v>
      </c>
      <c r="F119" s="2">
        <v>20.27</v>
      </c>
      <c r="G119" s="1">
        <v>1</v>
      </c>
      <c r="H119" s="1" t="s">
        <v>20</v>
      </c>
      <c r="I119" s="1">
        <v>17</v>
      </c>
      <c r="J119" s="1">
        <v>142</v>
      </c>
      <c r="K119" s="1">
        <v>12</v>
      </c>
      <c r="L119" s="1">
        <v>20</v>
      </c>
      <c r="M119" s="1" t="s">
        <v>21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>
        <v>9118</v>
      </c>
      <c r="B120" s="1">
        <v>36</v>
      </c>
      <c r="C120" s="1" t="s">
        <v>13</v>
      </c>
      <c r="D120" s="1" t="s">
        <v>27</v>
      </c>
      <c r="E120" s="1" t="s">
        <v>24</v>
      </c>
      <c r="F120" s="2">
        <v>7.24</v>
      </c>
      <c r="G120" s="1">
        <v>0</v>
      </c>
      <c r="H120" s="1" t="s">
        <v>20</v>
      </c>
      <c r="I120" s="1">
        <v>3</v>
      </c>
      <c r="J120" s="1">
        <v>69</v>
      </c>
      <c r="K120" s="1">
        <v>52</v>
      </c>
      <c r="L120" s="1">
        <v>14</v>
      </c>
      <c r="M120" s="1" t="s">
        <v>25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>
        <v>9119</v>
      </c>
      <c r="B121" s="1">
        <v>42</v>
      </c>
      <c r="C121" s="1" t="s">
        <v>13</v>
      </c>
      <c r="D121" s="1" t="s">
        <v>14</v>
      </c>
      <c r="E121" s="1" t="s">
        <v>24</v>
      </c>
      <c r="F121" s="2">
        <v>10.77</v>
      </c>
      <c r="G121" s="1">
        <v>0</v>
      </c>
      <c r="H121" s="1" t="s">
        <v>16</v>
      </c>
      <c r="I121" s="1">
        <v>7</v>
      </c>
      <c r="J121" s="1">
        <v>154</v>
      </c>
      <c r="K121" s="1">
        <v>23</v>
      </c>
      <c r="L121" s="1">
        <v>19</v>
      </c>
      <c r="M121" s="1" t="s">
        <v>16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>
        <v>9120</v>
      </c>
      <c r="B122" s="1">
        <v>16</v>
      </c>
      <c r="C122" s="1" t="s">
        <v>17</v>
      </c>
      <c r="D122" s="1" t="s">
        <v>18</v>
      </c>
      <c r="E122" s="1" t="s">
        <v>22</v>
      </c>
      <c r="F122" s="2">
        <v>4.5999999999999996</v>
      </c>
      <c r="G122" s="1">
        <v>1</v>
      </c>
      <c r="H122" s="1" t="s">
        <v>20</v>
      </c>
      <c r="I122" s="1">
        <v>17</v>
      </c>
      <c r="J122" s="1">
        <v>149</v>
      </c>
      <c r="K122" s="1">
        <v>48</v>
      </c>
      <c r="L122" s="1">
        <v>14</v>
      </c>
      <c r="M122" s="1" t="s">
        <v>21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>
        <v>9121</v>
      </c>
      <c r="B123" s="1">
        <v>20</v>
      </c>
      <c r="C123" s="1" t="s">
        <v>17</v>
      </c>
      <c r="D123" s="1" t="s">
        <v>18</v>
      </c>
      <c r="E123" s="1" t="s">
        <v>15</v>
      </c>
      <c r="F123" s="2">
        <v>11.92</v>
      </c>
      <c r="G123" s="1">
        <v>0</v>
      </c>
      <c r="H123" s="1" t="s">
        <v>16</v>
      </c>
      <c r="I123" s="1">
        <v>11</v>
      </c>
      <c r="J123" s="1">
        <v>75</v>
      </c>
      <c r="K123" s="1">
        <v>69</v>
      </c>
      <c r="L123" s="1">
        <v>25</v>
      </c>
      <c r="M123" s="1" t="s">
        <v>16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>
        <v>9122</v>
      </c>
      <c r="B124" s="1">
        <v>42</v>
      </c>
      <c r="C124" s="1" t="s">
        <v>13</v>
      </c>
      <c r="D124" s="1" t="s">
        <v>27</v>
      </c>
      <c r="E124" s="1" t="s">
        <v>24</v>
      </c>
      <c r="F124" s="2">
        <v>6.56</v>
      </c>
      <c r="G124" s="1">
        <v>0</v>
      </c>
      <c r="H124" s="1" t="s">
        <v>26</v>
      </c>
      <c r="I124" s="1">
        <v>15</v>
      </c>
      <c r="J124" s="1">
        <v>17</v>
      </c>
      <c r="K124" s="1">
        <v>19</v>
      </c>
      <c r="L124" s="1">
        <v>43</v>
      </c>
      <c r="M124" s="1" t="s">
        <v>25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>
        <v>9123</v>
      </c>
      <c r="B125" s="1">
        <v>42</v>
      </c>
      <c r="C125" s="1" t="s">
        <v>13</v>
      </c>
      <c r="D125" s="1" t="s">
        <v>18</v>
      </c>
      <c r="E125" s="1" t="s">
        <v>22</v>
      </c>
      <c r="F125" s="2">
        <v>2.73</v>
      </c>
      <c r="G125" s="1">
        <v>0</v>
      </c>
      <c r="H125" s="1" t="s">
        <v>16</v>
      </c>
      <c r="I125" s="1">
        <v>17</v>
      </c>
      <c r="J125" s="1">
        <v>62</v>
      </c>
      <c r="K125" s="1">
        <v>77</v>
      </c>
      <c r="L125" s="1">
        <v>35</v>
      </c>
      <c r="M125" s="1" t="s">
        <v>16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>
        <v>9124</v>
      </c>
      <c r="B126" s="1">
        <v>34</v>
      </c>
      <c r="C126" s="1" t="s">
        <v>17</v>
      </c>
      <c r="D126" s="1" t="s">
        <v>18</v>
      </c>
      <c r="E126" s="1" t="s">
        <v>15</v>
      </c>
      <c r="F126" s="2">
        <v>16.59</v>
      </c>
      <c r="G126" s="1">
        <v>0</v>
      </c>
      <c r="H126" s="1" t="s">
        <v>16</v>
      </c>
      <c r="I126" s="1">
        <v>13</v>
      </c>
      <c r="J126" s="1">
        <v>124</v>
      </c>
      <c r="K126" s="1">
        <v>35</v>
      </c>
      <c r="L126" s="1">
        <v>43</v>
      </c>
      <c r="M126" s="1" t="s">
        <v>21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>
        <v>9125</v>
      </c>
      <c r="B127" s="1">
        <v>44</v>
      </c>
      <c r="C127" s="1" t="s">
        <v>17</v>
      </c>
      <c r="D127" s="1" t="s">
        <v>18</v>
      </c>
      <c r="E127" s="1" t="s">
        <v>24</v>
      </c>
      <c r="F127" s="2">
        <v>8.58</v>
      </c>
      <c r="G127" s="1">
        <v>0</v>
      </c>
      <c r="H127" s="1" t="s">
        <v>16</v>
      </c>
      <c r="I127" s="1">
        <v>11</v>
      </c>
      <c r="J127" s="1">
        <v>34</v>
      </c>
      <c r="K127" s="1">
        <v>8</v>
      </c>
      <c r="L127" s="1">
        <v>11</v>
      </c>
      <c r="M127" s="1" t="s">
        <v>16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>
        <v>9126</v>
      </c>
      <c r="B128" s="1">
        <v>25</v>
      </c>
      <c r="C128" s="1" t="s">
        <v>17</v>
      </c>
      <c r="D128" s="1" t="s">
        <v>18</v>
      </c>
      <c r="E128" s="1" t="s">
        <v>24</v>
      </c>
      <c r="F128" s="2">
        <v>12.76</v>
      </c>
      <c r="G128" s="1">
        <v>0</v>
      </c>
      <c r="H128" s="1" t="s">
        <v>16</v>
      </c>
      <c r="I128" s="1">
        <v>7</v>
      </c>
      <c r="J128" s="1">
        <v>108</v>
      </c>
      <c r="K128" s="1">
        <v>76</v>
      </c>
      <c r="L128" s="1">
        <v>1</v>
      </c>
      <c r="M128" s="1" t="s">
        <v>16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>
        <v>9127</v>
      </c>
      <c r="B129" s="1">
        <v>42</v>
      </c>
      <c r="C129" s="1" t="s">
        <v>17</v>
      </c>
      <c r="D129" s="1" t="s">
        <v>27</v>
      </c>
      <c r="E129" s="1" t="s">
        <v>22</v>
      </c>
      <c r="F129" s="2">
        <v>13.29</v>
      </c>
      <c r="G129" s="1">
        <v>0</v>
      </c>
      <c r="H129" s="1" t="s">
        <v>20</v>
      </c>
      <c r="I129" s="1">
        <v>19</v>
      </c>
      <c r="J129" s="1">
        <v>157</v>
      </c>
      <c r="K129" s="1">
        <v>85</v>
      </c>
      <c r="L129" s="1">
        <v>7</v>
      </c>
      <c r="M129" s="1" t="s">
        <v>21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>
        <v>9128</v>
      </c>
      <c r="B130" s="1">
        <v>39</v>
      </c>
      <c r="C130" s="1" t="s">
        <v>17</v>
      </c>
      <c r="D130" s="1" t="s">
        <v>23</v>
      </c>
      <c r="E130" s="1" t="s">
        <v>24</v>
      </c>
      <c r="F130" s="2">
        <v>14.17</v>
      </c>
      <c r="G130" s="1">
        <v>0</v>
      </c>
      <c r="H130" s="1" t="s">
        <v>20</v>
      </c>
      <c r="I130" s="1">
        <v>15</v>
      </c>
      <c r="J130" s="1">
        <v>108</v>
      </c>
      <c r="K130" s="1">
        <v>49</v>
      </c>
      <c r="L130" s="1">
        <v>32</v>
      </c>
      <c r="M130" s="1" t="s">
        <v>21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>
        <v>9129</v>
      </c>
      <c r="B131" s="1">
        <v>47</v>
      </c>
      <c r="C131" s="1" t="s">
        <v>17</v>
      </c>
      <c r="D131" s="1" t="s">
        <v>18</v>
      </c>
      <c r="E131" s="1" t="s">
        <v>15</v>
      </c>
      <c r="F131" s="2">
        <v>18.489999999999998</v>
      </c>
      <c r="G131" s="1">
        <v>0</v>
      </c>
      <c r="H131" s="1" t="s">
        <v>20</v>
      </c>
      <c r="I131" s="1">
        <v>2</v>
      </c>
      <c r="J131" s="1">
        <v>65</v>
      </c>
      <c r="K131" s="1">
        <v>92</v>
      </c>
      <c r="L131" s="1">
        <v>45</v>
      </c>
      <c r="M131" s="1" t="s">
        <v>16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>
        <v>9130</v>
      </c>
      <c r="B132" s="1">
        <v>15</v>
      </c>
      <c r="C132" s="1" t="s">
        <v>17</v>
      </c>
      <c r="D132" s="1" t="s">
        <v>23</v>
      </c>
      <c r="E132" s="1" t="s">
        <v>22</v>
      </c>
      <c r="F132" s="2">
        <v>17.22</v>
      </c>
      <c r="G132" s="1">
        <v>1</v>
      </c>
      <c r="H132" s="1" t="s">
        <v>26</v>
      </c>
      <c r="I132" s="1">
        <v>5</v>
      </c>
      <c r="J132" s="1">
        <v>94</v>
      </c>
      <c r="K132" s="1">
        <v>76</v>
      </c>
      <c r="L132" s="1">
        <v>14</v>
      </c>
      <c r="M132" s="1" t="s">
        <v>16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>
        <v>9131</v>
      </c>
      <c r="B133" s="1">
        <v>41</v>
      </c>
      <c r="C133" s="1" t="s">
        <v>17</v>
      </c>
      <c r="D133" s="1" t="s">
        <v>18</v>
      </c>
      <c r="E133" s="1" t="s">
        <v>15</v>
      </c>
      <c r="F133" s="2">
        <v>18.22</v>
      </c>
      <c r="G133" s="1">
        <v>0</v>
      </c>
      <c r="H133" s="1" t="s">
        <v>16</v>
      </c>
      <c r="I133" s="1">
        <v>1</v>
      </c>
      <c r="J133" s="1">
        <v>70</v>
      </c>
      <c r="K133" s="1">
        <v>5</v>
      </c>
      <c r="L133" s="1">
        <v>43</v>
      </c>
      <c r="M133" s="1" t="s">
        <v>25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>
        <v>9132</v>
      </c>
      <c r="B134" s="1">
        <v>27</v>
      </c>
      <c r="C134" s="1" t="s">
        <v>13</v>
      </c>
      <c r="D134" s="1" t="s">
        <v>18</v>
      </c>
      <c r="E134" s="1" t="s">
        <v>24</v>
      </c>
      <c r="F134" s="2">
        <v>19.48</v>
      </c>
      <c r="G134" s="1">
        <v>0</v>
      </c>
      <c r="H134" s="1" t="s">
        <v>16</v>
      </c>
      <c r="I134" s="1">
        <v>16</v>
      </c>
      <c r="J134" s="1">
        <v>154</v>
      </c>
      <c r="K134" s="1">
        <v>13</v>
      </c>
      <c r="L134" s="1">
        <v>27</v>
      </c>
      <c r="M134" s="1" t="s">
        <v>21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>
        <v>9133</v>
      </c>
      <c r="B135" s="1">
        <v>17</v>
      </c>
      <c r="C135" s="1" t="s">
        <v>17</v>
      </c>
      <c r="D135" s="1" t="s">
        <v>23</v>
      </c>
      <c r="E135" s="1" t="s">
        <v>15</v>
      </c>
      <c r="F135" s="2">
        <v>9.48</v>
      </c>
      <c r="G135" s="1">
        <v>0</v>
      </c>
      <c r="H135" s="1" t="s">
        <v>16</v>
      </c>
      <c r="I135" s="1">
        <v>7</v>
      </c>
      <c r="J135" s="1">
        <v>78</v>
      </c>
      <c r="K135" s="1">
        <v>54</v>
      </c>
      <c r="L135" s="1">
        <v>36</v>
      </c>
      <c r="M135" s="1" t="s">
        <v>16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>
        <v>9134</v>
      </c>
      <c r="B136" s="1">
        <v>20</v>
      </c>
      <c r="C136" s="1" t="s">
        <v>13</v>
      </c>
      <c r="D136" s="1" t="s">
        <v>23</v>
      </c>
      <c r="E136" s="1" t="s">
        <v>19</v>
      </c>
      <c r="F136" s="2">
        <v>19.07</v>
      </c>
      <c r="G136" s="1">
        <v>0</v>
      </c>
      <c r="H136" s="1" t="s">
        <v>20</v>
      </c>
      <c r="I136" s="1">
        <v>18</v>
      </c>
      <c r="J136" s="1">
        <v>14</v>
      </c>
      <c r="K136" s="1">
        <v>49</v>
      </c>
      <c r="L136" s="1">
        <v>5</v>
      </c>
      <c r="M136" s="1" t="s">
        <v>25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>
        <v>9135</v>
      </c>
      <c r="B137" s="1">
        <v>22</v>
      </c>
      <c r="C137" s="1" t="s">
        <v>13</v>
      </c>
      <c r="D137" s="1" t="s">
        <v>18</v>
      </c>
      <c r="E137" s="1" t="s">
        <v>28</v>
      </c>
      <c r="F137" s="2">
        <v>8.6</v>
      </c>
      <c r="G137" s="1">
        <v>1</v>
      </c>
      <c r="H137" s="1" t="s">
        <v>26</v>
      </c>
      <c r="I137" s="1">
        <v>13</v>
      </c>
      <c r="J137" s="1">
        <v>21</v>
      </c>
      <c r="K137" s="1">
        <v>58</v>
      </c>
      <c r="L137" s="1">
        <v>19</v>
      </c>
      <c r="M137" s="1" t="s">
        <v>25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>
        <v>9136</v>
      </c>
      <c r="B138" s="1">
        <v>41</v>
      </c>
      <c r="C138" s="1" t="s">
        <v>13</v>
      </c>
      <c r="D138" s="1" t="s">
        <v>27</v>
      </c>
      <c r="E138" s="1" t="s">
        <v>24</v>
      </c>
      <c r="F138" s="2">
        <v>9.98</v>
      </c>
      <c r="G138" s="1">
        <v>0</v>
      </c>
      <c r="H138" s="1" t="s">
        <v>20</v>
      </c>
      <c r="I138" s="1">
        <v>1</v>
      </c>
      <c r="J138" s="1">
        <v>124</v>
      </c>
      <c r="K138" s="1">
        <v>15</v>
      </c>
      <c r="L138" s="1">
        <v>24</v>
      </c>
      <c r="M138" s="1" t="s">
        <v>25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>
        <v>9137</v>
      </c>
      <c r="B139" s="1">
        <v>23</v>
      </c>
      <c r="C139" s="1" t="s">
        <v>13</v>
      </c>
      <c r="D139" s="1" t="s">
        <v>27</v>
      </c>
      <c r="E139" s="1" t="s">
        <v>19</v>
      </c>
      <c r="F139" s="2">
        <v>21.65</v>
      </c>
      <c r="G139" s="1">
        <v>0</v>
      </c>
      <c r="H139" s="1" t="s">
        <v>20</v>
      </c>
      <c r="I139" s="1">
        <v>7</v>
      </c>
      <c r="J139" s="1">
        <v>45</v>
      </c>
      <c r="K139" s="1">
        <v>45</v>
      </c>
      <c r="L139" s="1">
        <v>42</v>
      </c>
      <c r="M139" s="1" t="s">
        <v>16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>
        <v>9138</v>
      </c>
      <c r="B140" s="1">
        <v>47</v>
      </c>
      <c r="C140" s="1" t="s">
        <v>13</v>
      </c>
      <c r="D140" s="1" t="s">
        <v>14</v>
      </c>
      <c r="E140" s="1" t="s">
        <v>28</v>
      </c>
      <c r="F140" s="2">
        <v>16.2</v>
      </c>
      <c r="G140" s="1">
        <v>0</v>
      </c>
      <c r="H140" s="1" t="s">
        <v>16</v>
      </c>
      <c r="I140" s="1">
        <v>6</v>
      </c>
      <c r="J140" s="1">
        <v>62</v>
      </c>
      <c r="K140" s="1">
        <v>96</v>
      </c>
      <c r="L140" s="1">
        <v>40</v>
      </c>
      <c r="M140" s="1" t="s">
        <v>16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>
        <v>9139</v>
      </c>
      <c r="B141" s="1">
        <v>38</v>
      </c>
      <c r="C141" s="1" t="s">
        <v>17</v>
      </c>
      <c r="D141" s="1" t="s">
        <v>23</v>
      </c>
      <c r="E141" s="1" t="s">
        <v>22</v>
      </c>
      <c r="F141" s="2">
        <v>5.99</v>
      </c>
      <c r="G141" s="1">
        <v>1</v>
      </c>
      <c r="H141" s="1" t="s">
        <v>16</v>
      </c>
      <c r="I141" s="1">
        <v>7</v>
      </c>
      <c r="J141" s="1">
        <v>43</v>
      </c>
      <c r="K141" s="1">
        <v>72</v>
      </c>
      <c r="L141" s="1">
        <v>16</v>
      </c>
      <c r="M141" s="1" t="s">
        <v>16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>
        <v>9140</v>
      </c>
      <c r="B142" s="1">
        <v>29</v>
      </c>
      <c r="C142" s="1" t="s">
        <v>17</v>
      </c>
      <c r="D142" s="1" t="s">
        <v>18</v>
      </c>
      <c r="E142" s="1" t="s">
        <v>28</v>
      </c>
      <c r="F142" s="2">
        <v>15.97</v>
      </c>
      <c r="G142" s="1">
        <v>0</v>
      </c>
      <c r="H142" s="1" t="s">
        <v>20</v>
      </c>
      <c r="I142" s="1">
        <v>1</v>
      </c>
      <c r="J142" s="1">
        <v>69</v>
      </c>
      <c r="K142" s="1">
        <v>81</v>
      </c>
      <c r="L142" s="1">
        <v>14</v>
      </c>
      <c r="M142" s="1" t="s">
        <v>25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>
        <v>9141</v>
      </c>
      <c r="B143" s="1">
        <v>46</v>
      </c>
      <c r="C143" s="1" t="s">
        <v>17</v>
      </c>
      <c r="D143" s="1" t="s">
        <v>27</v>
      </c>
      <c r="E143" s="1" t="s">
        <v>22</v>
      </c>
      <c r="F143" s="2">
        <v>3.68</v>
      </c>
      <c r="G143" s="1">
        <v>0</v>
      </c>
      <c r="H143" s="1" t="s">
        <v>20</v>
      </c>
      <c r="I143" s="1">
        <v>19</v>
      </c>
      <c r="J143" s="1">
        <v>42</v>
      </c>
      <c r="K143" s="1">
        <v>64</v>
      </c>
      <c r="L143" s="1">
        <v>31</v>
      </c>
      <c r="M143" s="1" t="s">
        <v>16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>
        <v>9142</v>
      </c>
      <c r="B144" s="1">
        <v>46</v>
      </c>
      <c r="C144" s="1" t="s">
        <v>17</v>
      </c>
      <c r="D144" s="1" t="s">
        <v>18</v>
      </c>
      <c r="E144" s="1" t="s">
        <v>19</v>
      </c>
      <c r="F144" s="2">
        <v>6.25</v>
      </c>
      <c r="G144" s="1">
        <v>1</v>
      </c>
      <c r="H144" s="1" t="s">
        <v>26</v>
      </c>
      <c r="I144" s="1">
        <v>8</v>
      </c>
      <c r="J144" s="1">
        <v>103</v>
      </c>
      <c r="K144" s="1">
        <v>54</v>
      </c>
      <c r="L144" s="1">
        <v>36</v>
      </c>
      <c r="M144" s="1" t="s">
        <v>16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>
        <v>9143</v>
      </c>
      <c r="B145" s="1">
        <v>38</v>
      </c>
      <c r="C145" s="1" t="s">
        <v>13</v>
      </c>
      <c r="D145" s="1" t="s">
        <v>18</v>
      </c>
      <c r="E145" s="1" t="s">
        <v>28</v>
      </c>
      <c r="F145" s="2">
        <v>1.34</v>
      </c>
      <c r="G145" s="1">
        <v>1</v>
      </c>
      <c r="H145" s="1" t="s">
        <v>26</v>
      </c>
      <c r="I145" s="1">
        <v>3</v>
      </c>
      <c r="J145" s="1">
        <v>124</v>
      </c>
      <c r="K145" s="1">
        <v>82</v>
      </c>
      <c r="L145" s="1">
        <v>4</v>
      </c>
      <c r="M145" s="1" t="s">
        <v>16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>
        <v>9144</v>
      </c>
      <c r="B146" s="1">
        <v>26</v>
      </c>
      <c r="C146" s="1" t="s">
        <v>13</v>
      </c>
      <c r="D146" s="1" t="s">
        <v>27</v>
      </c>
      <c r="E146" s="1" t="s">
        <v>24</v>
      </c>
      <c r="F146" s="2">
        <v>16.329999999999998</v>
      </c>
      <c r="G146" s="1">
        <v>1</v>
      </c>
      <c r="H146" s="1" t="s">
        <v>26</v>
      </c>
      <c r="I146" s="1">
        <v>16</v>
      </c>
      <c r="J146" s="1">
        <v>52</v>
      </c>
      <c r="K146" s="1">
        <v>87</v>
      </c>
      <c r="L146" s="1">
        <v>2</v>
      </c>
      <c r="M146" s="1" t="s">
        <v>16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>
        <v>9145</v>
      </c>
      <c r="B147" s="1">
        <v>16</v>
      </c>
      <c r="C147" s="1" t="s">
        <v>13</v>
      </c>
      <c r="D147" s="1" t="s">
        <v>14</v>
      </c>
      <c r="E147" s="1" t="s">
        <v>19</v>
      </c>
      <c r="F147" s="2">
        <v>22.75</v>
      </c>
      <c r="G147" s="1">
        <v>1</v>
      </c>
      <c r="H147" s="1" t="s">
        <v>20</v>
      </c>
      <c r="I147" s="1">
        <v>12</v>
      </c>
      <c r="J147" s="1">
        <v>132</v>
      </c>
      <c r="K147" s="1">
        <v>4</v>
      </c>
      <c r="L147" s="1">
        <v>4</v>
      </c>
      <c r="M147" s="1" t="s">
        <v>21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>
        <v>9146</v>
      </c>
      <c r="B148" s="1">
        <v>17</v>
      </c>
      <c r="C148" s="1" t="s">
        <v>13</v>
      </c>
      <c r="D148" s="1" t="s">
        <v>18</v>
      </c>
      <c r="E148" s="1" t="s">
        <v>28</v>
      </c>
      <c r="F148" s="2">
        <v>22.39</v>
      </c>
      <c r="G148" s="1">
        <v>0</v>
      </c>
      <c r="H148" s="1" t="s">
        <v>20</v>
      </c>
      <c r="I148" s="1">
        <v>17</v>
      </c>
      <c r="J148" s="1">
        <v>105</v>
      </c>
      <c r="K148" s="1">
        <v>60</v>
      </c>
      <c r="L148" s="1">
        <v>37</v>
      </c>
      <c r="M148" s="1" t="s">
        <v>21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>
        <v>9147</v>
      </c>
      <c r="B149" s="1">
        <v>31</v>
      </c>
      <c r="C149" s="1" t="s">
        <v>17</v>
      </c>
      <c r="D149" s="1" t="s">
        <v>18</v>
      </c>
      <c r="E149" s="1" t="s">
        <v>15</v>
      </c>
      <c r="F149" s="2">
        <v>19.39</v>
      </c>
      <c r="G149" s="1">
        <v>0</v>
      </c>
      <c r="H149" s="1" t="s">
        <v>20</v>
      </c>
      <c r="I149" s="1">
        <v>11</v>
      </c>
      <c r="J149" s="1">
        <v>27</v>
      </c>
      <c r="K149" s="1">
        <v>23</v>
      </c>
      <c r="L149" s="1">
        <v>13</v>
      </c>
      <c r="M149" s="1" t="s">
        <v>25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>
        <v>9148</v>
      </c>
      <c r="B150" s="1">
        <v>16</v>
      </c>
      <c r="C150" s="1" t="s">
        <v>13</v>
      </c>
      <c r="D150" s="1" t="s">
        <v>23</v>
      </c>
      <c r="E150" s="1" t="s">
        <v>15</v>
      </c>
      <c r="F150" s="2">
        <v>3.84</v>
      </c>
      <c r="G150" s="1">
        <v>0</v>
      </c>
      <c r="H150" s="1" t="s">
        <v>26</v>
      </c>
      <c r="I150" s="1">
        <v>3</v>
      </c>
      <c r="J150" s="1">
        <v>159</v>
      </c>
      <c r="K150" s="1">
        <v>8</v>
      </c>
      <c r="L150" s="1">
        <v>44</v>
      </c>
      <c r="M150" s="1" t="s">
        <v>25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>
        <v>9149</v>
      </c>
      <c r="B151" s="1">
        <v>16</v>
      </c>
      <c r="C151" s="1" t="s">
        <v>13</v>
      </c>
      <c r="D151" s="1" t="s">
        <v>14</v>
      </c>
      <c r="E151" s="1" t="s">
        <v>22</v>
      </c>
      <c r="F151" s="2">
        <v>20.25</v>
      </c>
      <c r="G151" s="1">
        <v>0</v>
      </c>
      <c r="H151" s="1" t="s">
        <v>20</v>
      </c>
      <c r="I151" s="1">
        <v>9</v>
      </c>
      <c r="J151" s="1">
        <v>19</v>
      </c>
      <c r="K151" s="1">
        <v>95</v>
      </c>
      <c r="L151" s="1">
        <v>31</v>
      </c>
      <c r="M151" s="1" t="s">
        <v>16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 t="s">
        <v>29</v>
      </c>
      <c r="B154" s="1"/>
      <c r="C154" s="1"/>
      <c r="D154" s="1">
        <f>COUNTIF(C:C, "Female")</f>
        <v>61</v>
      </c>
      <c r="E154" s="1"/>
      <c r="F154" s="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 t="s">
        <v>30</v>
      </c>
      <c r="B155" s="1"/>
      <c r="C155" s="1"/>
      <c r="D155" s="1">
        <f>COUNTIF(C:C, "Male")</f>
        <v>89</v>
      </c>
      <c r="E155" s="1"/>
      <c r="F155" s="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 t="s">
        <v>31</v>
      </c>
      <c r="B157" s="1"/>
      <c r="C157" s="1"/>
      <c r="D157" s="1"/>
      <c r="E157" s="1"/>
      <c r="F157" s="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 t="s">
        <v>15</v>
      </c>
      <c r="B159" s="1"/>
      <c r="C159" s="1"/>
      <c r="D159" s="1">
        <f>COUNTIF(E:E, "Strategy")</f>
        <v>32</v>
      </c>
      <c r="E159" s="1"/>
      <c r="F159" s="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 t="s">
        <v>19</v>
      </c>
      <c r="B160" s="1"/>
      <c r="C160" s="1"/>
      <c r="D160" s="1">
        <f>COUNTIF(E:E, "Sports")</f>
        <v>37</v>
      </c>
      <c r="E160" s="1"/>
      <c r="F160" s="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 t="s">
        <v>22</v>
      </c>
      <c r="B161" s="1"/>
      <c r="C161" s="1"/>
      <c r="D161" s="1">
        <f>COUNTIF(E:E, "Action")</f>
        <v>23</v>
      </c>
      <c r="E161" s="1"/>
      <c r="F161" s="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 t="s">
        <v>24</v>
      </c>
      <c r="B162" s="1"/>
      <c r="C162" s="1"/>
      <c r="D162" s="1">
        <f>COUNTIF(E:E, "RPG")</f>
        <v>28</v>
      </c>
      <c r="E162" s="1"/>
      <c r="F162" s="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 t="s">
        <v>28</v>
      </c>
      <c r="B163" s="1"/>
      <c r="C163" s="1"/>
      <c r="D163" s="1">
        <f>COUNTIF(E:E, "Simulation")</f>
        <v>30</v>
      </c>
      <c r="E163" s="1"/>
      <c r="F163" s="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 t="s">
        <v>47</v>
      </c>
      <c r="B165" s="1">
        <f>SUM(F1:F151)</f>
        <v>1834.3779999999997</v>
      </c>
      <c r="C165" s="1" t="s">
        <v>52</v>
      </c>
      <c r="D165" s="1"/>
      <c r="E165" s="1"/>
      <c r="F165" s="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 t="s">
        <v>48</v>
      </c>
      <c r="B166" s="2">
        <f>AVERAGE(F1:F151)</f>
        <v>12.229186666666665</v>
      </c>
      <c r="C166" s="1" t="s">
        <v>53</v>
      </c>
      <c r="D166" s="1"/>
      <c r="E166" s="1"/>
      <c r="F166" s="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 t="s">
        <v>49</v>
      </c>
      <c r="B167" s="1" t="str">
        <f>VLOOKUP(9111, A2:E151, 5, FALSE)</f>
        <v>Simulation</v>
      </c>
      <c r="C167" s="1" t="s">
        <v>54</v>
      </c>
      <c r="D167" s="1"/>
      <c r="E167" s="1"/>
      <c r="F167" s="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 t="s">
        <v>50</v>
      </c>
      <c r="B168" s="1" t="str">
        <f>IF(K99&gt;50, "pro", "casual")</f>
        <v>casual</v>
      </c>
      <c r="C168" s="1" t="s">
        <v>55</v>
      </c>
      <c r="D168" s="1"/>
      <c r="E168" s="1"/>
      <c r="F168" s="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 t="s">
        <v>51</v>
      </c>
      <c r="B169" s="1">
        <f>COUNTIF(C2:C151, "Male")</f>
        <v>89</v>
      </c>
      <c r="C169" s="1" t="s">
        <v>56</v>
      </c>
      <c r="D169" s="1"/>
      <c r="E169" s="1"/>
      <c r="F169" s="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4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4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4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4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4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4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4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4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4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4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4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4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4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4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4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4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4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4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4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4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4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4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4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4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4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4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4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4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4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4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4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4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4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4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4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4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4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4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4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4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4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4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4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4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4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4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4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4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4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4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4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4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4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4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4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4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4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4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4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4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4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4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4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4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4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4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4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4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4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4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4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4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4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4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4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4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4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4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4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4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4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4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4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4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4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4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4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4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4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4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4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4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4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4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4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4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4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4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4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4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4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4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4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4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4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4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4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4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4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4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4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4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4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4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4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4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4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4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4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4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4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4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4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4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4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4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4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4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4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4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4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4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4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4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4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4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4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4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4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4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4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4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4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4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4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4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4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4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4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4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4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4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4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4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4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4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4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4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4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4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4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4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4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4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4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4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4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4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4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4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4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4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4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4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4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4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4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4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4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4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4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4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4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4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4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4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4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4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4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4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4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4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4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4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4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4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4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4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4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4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4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4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4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4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4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4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4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4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4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4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4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4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4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4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4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4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4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4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4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4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4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4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4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4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4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4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4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4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4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4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4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4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4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4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4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4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4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4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4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4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4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4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4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4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4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4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4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4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4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4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4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4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4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4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4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4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4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4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4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4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4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4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4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4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4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4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4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4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4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4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4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4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4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4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4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4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4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4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4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4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4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4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4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4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4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4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4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4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4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4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4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4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4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4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4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4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4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4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4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4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4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4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4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4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4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4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4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4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4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4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4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4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4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4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4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4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4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4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4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4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4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4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4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4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4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4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4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4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4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4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4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4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4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4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4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4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4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4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4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4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4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4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4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D1000"/>
  <sheetViews>
    <sheetView workbookViewId="0">
      <selection activeCell="B5" sqref="B5:D5"/>
    </sheetView>
  </sheetViews>
  <sheetFormatPr defaultColWidth="11.21875" defaultRowHeight="15" customHeight="1"/>
  <cols>
    <col min="1" max="1" width="16.6640625" customWidth="1"/>
    <col min="2" max="2" width="9.77734375" customWidth="1"/>
    <col min="3" max="3" width="5.33203125" customWidth="1"/>
    <col min="4" max="4" width="11.5546875" customWidth="1"/>
    <col min="5" max="5" width="15.5546875" customWidth="1"/>
    <col min="6" max="6" width="22" customWidth="1"/>
    <col min="7" max="26" width="8.5546875" customWidth="1"/>
  </cols>
  <sheetData>
    <row r="5" spans="1:4" ht="15.75">
      <c r="A5" s="19" t="s">
        <v>32</v>
      </c>
      <c r="B5" s="19" t="s">
        <v>2</v>
      </c>
      <c r="C5" s="20"/>
      <c r="D5" s="21"/>
    </row>
    <row r="6" spans="1:4" ht="15.75">
      <c r="A6" s="19" t="s">
        <v>4</v>
      </c>
      <c r="B6" s="23" t="s">
        <v>17</v>
      </c>
      <c r="C6" s="24" t="s">
        <v>13</v>
      </c>
      <c r="D6" s="25" t="s">
        <v>33</v>
      </c>
    </row>
    <row r="7" spans="1:4">
      <c r="A7" s="17" t="s">
        <v>22</v>
      </c>
      <c r="B7" s="28">
        <v>14</v>
      </c>
      <c r="C7" s="29">
        <v>9</v>
      </c>
      <c r="D7" s="30">
        <v>23</v>
      </c>
    </row>
    <row r="8" spans="1:4">
      <c r="A8" s="18" t="s">
        <v>24</v>
      </c>
      <c r="B8" s="31">
        <v>8</v>
      </c>
      <c r="C8" s="32">
        <v>20</v>
      </c>
      <c r="D8" s="33">
        <v>28</v>
      </c>
    </row>
    <row r="9" spans="1:4">
      <c r="A9" s="18" t="s">
        <v>28</v>
      </c>
      <c r="B9" s="31">
        <v>11</v>
      </c>
      <c r="C9" s="32">
        <v>19</v>
      </c>
      <c r="D9" s="33">
        <v>30</v>
      </c>
    </row>
    <row r="10" spans="1:4">
      <c r="A10" s="18" t="s">
        <v>19</v>
      </c>
      <c r="B10" s="31">
        <v>15</v>
      </c>
      <c r="C10" s="32">
        <v>22</v>
      </c>
      <c r="D10" s="33">
        <v>37</v>
      </c>
    </row>
    <row r="11" spans="1:4">
      <c r="A11" s="18" t="s">
        <v>15</v>
      </c>
      <c r="B11" s="31">
        <v>13</v>
      </c>
      <c r="C11" s="32">
        <v>19</v>
      </c>
      <c r="D11" s="33">
        <v>32</v>
      </c>
    </row>
    <row r="12" spans="1:4" ht="15.75">
      <c r="A12" s="22" t="s">
        <v>33</v>
      </c>
      <c r="B12" s="34">
        <v>61</v>
      </c>
      <c r="C12" s="35">
        <v>89</v>
      </c>
      <c r="D12" s="36">
        <v>150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1.21875" defaultRowHeight="15" customHeight="1"/>
  <cols>
    <col min="1" max="1" width="12.77734375" customWidth="1"/>
    <col min="2" max="2" width="8.5546875" customWidth="1"/>
    <col min="3" max="3" width="13.33203125" customWidth="1"/>
    <col min="4" max="4" width="12" customWidth="1"/>
    <col min="5" max="5" width="8.5546875" customWidth="1"/>
    <col min="6" max="6" width="15.88671875" customWidth="1"/>
    <col min="7" max="7" width="11" customWidth="1"/>
    <col min="8" max="8" width="22" customWidth="1"/>
    <col min="9" max="9" width="21.5546875" customWidth="1"/>
    <col min="10" max="26" width="8.5546875" customWidth="1"/>
  </cols>
  <sheetData>
    <row r="1" spans="1:9">
      <c r="A1" s="2" t="s">
        <v>5</v>
      </c>
    </row>
    <row r="2" spans="1:9" ht="15.75">
      <c r="A2" s="2">
        <v>16.27</v>
      </c>
      <c r="C2" s="10" t="s">
        <v>44</v>
      </c>
      <c r="D2" s="5">
        <f>COUNTA(A2:A151)</f>
        <v>150</v>
      </c>
    </row>
    <row r="3" spans="1:9" ht="15.75">
      <c r="A3" s="2">
        <v>5.52</v>
      </c>
      <c r="C3" s="10" t="s">
        <v>34</v>
      </c>
      <c r="D3" s="6">
        <f>MAX(A2:A151)</f>
        <v>23.94</v>
      </c>
    </row>
    <row r="4" spans="1:9" ht="15.75">
      <c r="A4" s="2">
        <v>8.2200000000000006</v>
      </c>
      <c r="C4" s="10" t="s">
        <v>45</v>
      </c>
      <c r="D4" s="6">
        <f>MIN(A2:A151)</f>
        <v>0.87</v>
      </c>
    </row>
    <row r="5" spans="1:9" ht="15.75">
      <c r="A5" s="2">
        <v>5.26</v>
      </c>
      <c r="C5" s="10" t="s">
        <v>35</v>
      </c>
      <c r="D5" s="6">
        <f>D3-D4</f>
        <v>23.07</v>
      </c>
    </row>
    <row r="6" spans="1:9" ht="15.75">
      <c r="A6" s="2">
        <v>15.53</v>
      </c>
      <c r="C6" s="10" t="s">
        <v>36</v>
      </c>
      <c r="D6" s="5">
        <f>1+3.3*LOG(D2)</f>
        <v>8.1811011548837484</v>
      </c>
      <c r="E6" s="5">
        <v>8</v>
      </c>
    </row>
    <row r="7" spans="1:9" ht="15.75">
      <c r="A7" s="2">
        <v>20.56</v>
      </c>
      <c r="C7" s="10" t="s">
        <v>37</v>
      </c>
      <c r="D7" s="5">
        <f>D5/E6</f>
        <v>2.88375</v>
      </c>
      <c r="E7" s="5">
        <v>3</v>
      </c>
    </row>
    <row r="8" spans="1:9">
      <c r="A8" s="2">
        <v>9.75</v>
      </c>
    </row>
    <row r="9" spans="1:9">
      <c r="A9" s="2">
        <v>4.4000000000000004</v>
      </c>
    </row>
    <row r="10" spans="1:9">
      <c r="A10" s="2">
        <v>18.149999999999999</v>
      </c>
      <c r="C10" s="7" t="s">
        <v>38</v>
      </c>
      <c r="D10" s="26" t="s">
        <v>39</v>
      </c>
      <c r="E10" s="27"/>
      <c r="F10" s="5" t="s">
        <v>40</v>
      </c>
      <c r="G10" s="11" t="s">
        <v>46</v>
      </c>
      <c r="H10" s="12" t="s">
        <v>41</v>
      </c>
      <c r="I10" s="12" t="s">
        <v>42</v>
      </c>
    </row>
    <row r="11" spans="1:9">
      <c r="A11" s="2">
        <v>23.94</v>
      </c>
      <c r="C11" s="7">
        <v>1</v>
      </c>
      <c r="D11" s="8">
        <f>D4</f>
        <v>0.87</v>
      </c>
      <c r="E11" s="8">
        <f t="shared" ref="E11:E18" si="0">D11+$E$7-1</f>
        <v>2.87</v>
      </c>
      <c r="F11" s="7" t="str">
        <f t="shared" ref="F11:F18" si="1">CONCATENATE(ROUNDUP(D11,0), "-", ROUNDUP(E11,0))</f>
        <v>1-3</v>
      </c>
      <c r="G11" s="13">
        <v>13</v>
      </c>
      <c r="H11" s="14">
        <f t="shared" ref="H11:H18" si="2">G11/SUM($G$11:$G$18)</f>
        <v>8.666666666666667E-2</v>
      </c>
      <c r="I11" s="15">
        <f t="shared" ref="I11:I18" si="3">SUM($G$11:G11)</f>
        <v>13</v>
      </c>
    </row>
    <row r="12" spans="1:9">
      <c r="A12" s="2">
        <v>4.82</v>
      </c>
      <c r="C12" s="7">
        <v>2</v>
      </c>
      <c r="D12" s="8">
        <f t="shared" ref="D12:D18" si="4">E11+1</f>
        <v>3.87</v>
      </c>
      <c r="E12" s="8">
        <f t="shared" si="0"/>
        <v>5.87</v>
      </c>
      <c r="F12" s="7" t="str">
        <f t="shared" si="1"/>
        <v>4-6</v>
      </c>
      <c r="G12" s="13">
        <v>24</v>
      </c>
      <c r="H12" s="14">
        <f t="shared" si="2"/>
        <v>0.16</v>
      </c>
      <c r="I12" s="15">
        <f t="shared" si="3"/>
        <v>37</v>
      </c>
    </row>
    <row r="13" spans="1:9">
      <c r="A13" s="2">
        <v>5.53</v>
      </c>
      <c r="C13" s="7">
        <v>3</v>
      </c>
      <c r="D13" s="8">
        <f t="shared" si="4"/>
        <v>6.87</v>
      </c>
      <c r="E13" s="8">
        <f t="shared" si="0"/>
        <v>8.870000000000001</v>
      </c>
      <c r="F13" s="7" t="str">
        <f t="shared" si="1"/>
        <v>7-9</v>
      </c>
      <c r="G13" s="13">
        <v>21</v>
      </c>
      <c r="H13" s="14">
        <f t="shared" si="2"/>
        <v>0.14000000000000001</v>
      </c>
      <c r="I13" s="15">
        <f t="shared" si="3"/>
        <v>58</v>
      </c>
    </row>
    <row r="14" spans="1:9">
      <c r="A14" s="2">
        <v>18.77</v>
      </c>
      <c r="C14" s="7">
        <v>4</v>
      </c>
      <c r="D14" s="8">
        <f t="shared" si="4"/>
        <v>9.870000000000001</v>
      </c>
      <c r="E14" s="8">
        <f t="shared" si="0"/>
        <v>11.870000000000001</v>
      </c>
      <c r="F14" s="7" t="str">
        <f t="shared" si="1"/>
        <v>10-12</v>
      </c>
      <c r="G14" s="13">
        <v>15</v>
      </c>
      <c r="H14" s="14">
        <f t="shared" si="2"/>
        <v>0.1</v>
      </c>
      <c r="I14" s="15">
        <f t="shared" si="3"/>
        <v>73</v>
      </c>
    </row>
    <row r="15" spans="1:9">
      <c r="A15" s="2">
        <v>8.6999999999999993</v>
      </c>
      <c r="C15" s="7">
        <v>5</v>
      </c>
      <c r="D15" s="8">
        <f t="shared" si="4"/>
        <v>12.870000000000001</v>
      </c>
      <c r="E15" s="8">
        <f t="shared" si="0"/>
        <v>14.870000000000001</v>
      </c>
      <c r="F15" s="7" t="str">
        <f t="shared" si="1"/>
        <v>13-15</v>
      </c>
      <c r="G15" s="13">
        <v>17</v>
      </c>
      <c r="H15" s="14">
        <f t="shared" si="2"/>
        <v>0.11333333333333333</v>
      </c>
      <c r="I15" s="15">
        <f t="shared" si="3"/>
        <v>90</v>
      </c>
    </row>
    <row r="16" spans="1:9">
      <c r="A16" s="2">
        <v>17.97</v>
      </c>
      <c r="C16" s="7">
        <v>6</v>
      </c>
      <c r="D16" s="8">
        <f t="shared" si="4"/>
        <v>15.870000000000001</v>
      </c>
      <c r="E16" s="8">
        <f t="shared" si="0"/>
        <v>17.87</v>
      </c>
      <c r="F16" s="7" t="str">
        <f t="shared" si="1"/>
        <v>16-18</v>
      </c>
      <c r="G16" s="13">
        <v>20</v>
      </c>
      <c r="H16" s="14">
        <f t="shared" si="2"/>
        <v>0.13333333333333333</v>
      </c>
      <c r="I16" s="15">
        <f t="shared" si="3"/>
        <v>110</v>
      </c>
    </row>
    <row r="17" spans="1:9">
      <c r="A17" s="2">
        <v>7.95</v>
      </c>
      <c r="C17" s="7">
        <v>7</v>
      </c>
      <c r="D17" s="8">
        <f t="shared" si="4"/>
        <v>18.87</v>
      </c>
      <c r="E17" s="8">
        <f t="shared" si="0"/>
        <v>20.87</v>
      </c>
      <c r="F17" s="7" t="str">
        <f t="shared" si="1"/>
        <v>19-21</v>
      </c>
      <c r="G17" s="13">
        <v>27</v>
      </c>
      <c r="H17" s="14">
        <f t="shared" si="2"/>
        <v>0.18</v>
      </c>
      <c r="I17" s="15">
        <f t="shared" si="3"/>
        <v>137</v>
      </c>
    </row>
    <row r="18" spans="1:9">
      <c r="A18" s="2">
        <v>17.88</v>
      </c>
      <c r="C18" s="7">
        <v>8</v>
      </c>
      <c r="D18" s="8">
        <f t="shared" si="4"/>
        <v>21.87</v>
      </c>
      <c r="E18" s="8">
        <f t="shared" si="0"/>
        <v>23.87</v>
      </c>
      <c r="F18" s="7" t="str">
        <f t="shared" si="1"/>
        <v>22-24</v>
      </c>
      <c r="G18" s="13">
        <v>13</v>
      </c>
      <c r="H18" s="14">
        <f t="shared" si="2"/>
        <v>8.666666666666667E-2</v>
      </c>
      <c r="I18" s="15">
        <f t="shared" si="3"/>
        <v>150</v>
      </c>
    </row>
    <row r="19" spans="1:9" ht="15.75">
      <c r="A19" s="2">
        <v>17.271999999999998</v>
      </c>
      <c r="F19" s="9" t="s">
        <v>43</v>
      </c>
      <c r="G19" s="16">
        <f>SUM(G11:G18)</f>
        <v>150</v>
      </c>
    </row>
    <row r="20" spans="1:9">
      <c r="A20" s="2">
        <v>19.41</v>
      </c>
    </row>
    <row r="21" spans="1:9" ht="15.75" customHeight="1">
      <c r="A21" s="2">
        <v>19.329999999999998</v>
      </c>
    </row>
    <row r="22" spans="1:9" ht="15.75" customHeight="1">
      <c r="A22" s="2">
        <v>1.722</v>
      </c>
    </row>
    <row r="23" spans="1:9" ht="15.75" customHeight="1">
      <c r="A23" s="2">
        <v>16.16</v>
      </c>
    </row>
    <row r="24" spans="1:9" ht="15.75" customHeight="1">
      <c r="A24" s="2">
        <v>10.44</v>
      </c>
    </row>
    <row r="25" spans="1:9" ht="15.75" customHeight="1">
      <c r="A25" s="2">
        <v>17.95</v>
      </c>
    </row>
    <row r="26" spans="1:9" ht="15.75" customHeight="1">
      <c r="A26" s="2">
        <v>22.56</v>
      </c>
    </row>
    <row r="27" spans="1:9" ht="15.75" customHeight="1">
      <c r="A27" s="2">
        <v>10.311</v>
      </c>
    </row>
    <row r="28" spans="1:9" ht="15.75" customHeight="1">
      <c r="A28" s="2">
        <v>4.8899999999999997</v>
      </c>
    </row>
    <row r="29" spans="1:9" ht="15.75" customHeight="1">
      <c r="A29" s="2">
        <v>14.59</v>
      </c>
    </row>
    <row r="30" spans="1:9" ht="15.75" customHeight="1">
      <c r="A30" s="2">
        <v>3.21</v>
      </c>
    </row>
    <row r="31" spans="1:9" ht="15.75" customHeight="1">
      <c r="A31" s="2">
        <v>4.12</v>
      </c>
    </row>
    <row r="32" spans="1:9" ht="15.75" customHeight="1">
      <c r="A32" s="2">
        <v>22.85</v>
      </c>
    </row>
    <row r="33" spans="1:1" ht="15.75" customHeight="1">
      <c r="A33" s="2">
        <v>3.37</v>
      </c>
    </row>
    <row r="34" spans="1:1" ht="15.75" customHeight="1">
      <c r="A34" s="2">
        <v>14.52</v>
      </c>
    </row>
    <row r="35" spans="1:1" ht="15.75" customHeight="1">
      <c r="A35" s="2">
        <v>18.96</v>
      </c>
    </row>
    <row r="36" spans="1:1" ht="15.75" customHeight="1">
      <c r="A36" s="2">
        <v>11.72</v>
      </c>
    </row>
    <row r="37" spans="1:1" ht="15.75" customHeight="1">
      <c r="A37" s="2">
        <v>17.489999999999998</v>
      </c>
    </row>
    <row r="38" spans="1:1" ht="15.75" customHeight="1">
      <c r="A38" s="2">
        <v>13.77</v>
      </c>
    </row>
    <row r="39" spans="1:1" ht="15.75" customHeight="1">
      <c r="A39" s="2">
        <v>3.95</v>
      </c>
    </row>
    <row r="40" spans="1:1" ht="15.75" customHeight="1">
      <c r="A40" s="2">
        <v>1.9</v>
      </c>
    </row>
    <row r="41" spans="1:1" ht="15.75" customHeight="1">
      <c r="A41" s="2">
        <v>5.56</v>
      </c>
    </row>
    <row r="42" spans="1:1" ht="15.75" customHeight="1">
      <c r="A42" s="2">
        <v>13.71</v>
      </c>
    </row>
    <row r="43" spans="1:1" ht="15.75" customHeight="1">
      <c r="A43" s="2">
        <v>12.28</v>
      </c>
    </row>
    <row r="44" spans="1:1" ht="15.75" customHeight="1">
      <c r="A44" s="2">
        <v>2.2400000000000002</v>
      </c>
    </row>
    <row r="45" spans="1:1" ht="15.75" customHeight="1">
      <c r="A45" s="2">
        <v>13.15</v>
      </c>
    </row>
    <row r="46" spans="1:1" ht="15.75" customHeight="1">
      <c r="A46" s="2">
        <v>2.61</v>
      </c>
    </row>
    <row r="47" spans="1:1" ht="15.75" customHeight="1">
      <c r="A47" s="2">
        <v>16.579999999999998</v>
      </c>
    </row>
    <row r="48" spans="1:1" ht="15.75" customHeight="1">
      <c r="A48" s="2">
        <v>15.65</v>
      </c>
    </row>
    <row r="49" spans="1:1" ht="15.75" customHeight="1">
      <c r="A49" s="2">
        <v>1.59</v>
      </c>
    </row>
    <row r="50" spans="1:1" ht="15.75" customHeight="1">
      <c r="A50" s="2">
        <v>11.19</v>
      </c>
    </row>
    <row r="51" spans="1:1" ht="15.75" customHeight="1">
      <c r="A51" s="2">
        <v>17.059999999999999</v>
      </c>
    </row>
    <row r="52" spans="1:1" ht="15.75" customHeight="1">
      <c r="A52" s="2">
        <v>19.21</v>
      </c>
    </row>
    <row r="53" spans="1:1" ht="15.75" customHeight="1">
      <c r="A53" s="2">
        <v>0.87</v>
      </c>
    </row>
    <row r="54" spans="1:1" ht="15.75" customHeight="1">
      <c r="A54" s="2">
        <v>11.21</v>
      </c>
    </row>
    <row r="55" spans="1:1" ht="15.75" customHeight="1">
      <c r="A55" s="2">
        <v>23.7</v>
      </c>
    </row>
    <row r="56" spans="1:1" ht="15.75" customHeight="1">
      <c r="A56" s="2">
        <v>9.2100000000000009</v>
      </c>
    </row>
    <row r="57" spans="1:1" ht="15.75" customHeight="1">
      <c r="A57" s="2">
        <v>12.88</v>
      </c>
    </row>
    <row r="58" spans="1:1" ht="15.75" customHeight="1">
      <c r="A58" s="2">
        <v>7.18</v>
      </c>
    </row>
    <row r="59" spans="1:1" ht="15.75" customHeight="1">
      <c r="A59" s="2">
        <v>1.32</v>
      </c>
    </row>
    <row r="60" spans="1:1" ht="15.75" customHeight="1">
      <c r="A60" s="2">
        <v>21.68</v>
      </c>
    </row>
    <row r="61" spans="1:1" ht="15.75" customHeight="1">
      <c r="A61" s="2">
        <v>15.15</v>
      </c>
    </row>
    <row r="62" spans="1:1" ht="15.75" customHeight="1">
      <c r="A62" s="2">
        <v>12.55</v>
      </c>
    </row>
    <row r="63" spans="1:1" ht="15.75" customHeight="1">
      <c r="A63" s="2">
        <v>19.46</v>
      </c>
    </row>
    <row r="64" spans="1:1" ht="15.75" customHeight="1">
      <c r="A64" s="2">
        <v>3.52</v>
      </c>
    </row>
    <row r="65" spans="1:1" ht="15.75" customHeight="1">
      <c r="A65" s="2">
        <v>20.85</v>
      </c>
    </row>
    <row r="66" spans="1:1" ht="15.75" customHeight="1">
      <c r="A66" s="2">
        <v>14.62</v>
      </c>
    </row>
    <row r="67" spans="1:1" ht="15.75" customHeight="1">
      <c r="A67" s="2">
        <v>17</v>
      </c>
    </row>
    <row r="68" spans="1:1" ht="15.75" customHeight="1">
      <c r="A68" s="2">
        <v>14.89</v>
      </c>
    </row>
    <row r="69" spans="1:1" ht="15.75" customHeight="1">
      <c r="A69" s="2">
        <v>19.75</v>
      </c>
    </row>
    <row r="70" spans="1:1" ht="15.75" customHeight="1">
      <c r="A70" s="2">
        <v>19.02</v>
      </c>
    </row>
    <row r="71" spans="1:1" ht="15.75" customHeight="1">
      <c r="A71" s="2">
        <v>13.72</v>
      </c>
    </row>
    <row r="72" spans="1:1" ht="15.75" customHeight="1">
      <c r="A72" s="2">
        <v>20.16</v>
      </c>
    </row>
    <row r="73" spans="1:1" ht="15.75" customHeight="1">
      <c r="A73" s="2">
        <v>18.850000000000001</v>
      </c>
    </row>
    <row r="74" spans="1:1" ht="15.75" customHeight="1">
      <c r="A74" s="2">
        <v>12.08</v>
      </c>
    </row>
    <row r="75" spans="1:1" ht="15.75" customHeight="1">
      <c r="A75" s="2">
        <v>2.2599999999999998</v>
      </c>
    </row>
    <row r="76" spans="1:1" ht="15.75" customHeight="1">
      <c r="A76" s="2">
        <v>20.818999999999999</v>
      </c>
    </row>
    <row r="77" spans="1:1" ht="15.75" customHeight="1">
      <c r="A77" s="2">
        <v>9</v>
      </c>
    </row>
    <row r="78" spans="1:1" ht="15.75" customHeight="1">
      <c r="A78" s="2">
        <v>19.66</v>
      </c>
    </row>
    <row r="79" spans="1:1" ht="15.75" customHeight="1">
      <c r="A79" s="2">
        <v>18.53</v>
      </c>
    </row>
    <row r="80" spans="1:1" ht="15.75" customHeight="1">
      <c r="A80" s="2">
        <v>2.04</v>
      </c>
    </row>
    <row r="81" spans="1:1" ht="15.75" customHeight="1">
      <c r="A81" s="2">
        <v>6.53</v>
      </c>
    </row>
    <row r="82" spans="1:1" ht="15.75" customHeight="1">
      <c r="A82" s="2">
        <v>19.86</v>
      </c>
    </row>
    <row r="83" spans="1:1" ht="15.75" customHeight="1">
      <c r="A83" s="2">
        <v>13.98</v>
      </c>
    </row>
    <row r="84" spans="1:1" ht="15.75" customHeight="1">
      <c r="A84" s="2">
        <v>7.74</v>
      </c>
    </row>
    <row r="85" spans="1:1" ht="15.75" customHeight="1">
      <c r="A85" s="2">
        <v>3.79</v>
      </c>
    </row>
    <row r="86" spans="1:1" ht="15.75" customHeight="1">
      <c r="A86" s="2">
        <v>10.39</v>
      </c>
    </row>
    <row r="87" spans="1:1" ht="15.75" customHeight="1">
      <c r="A87" s="2">
        <v>15.07</v>
      </c>
    </row>
    <row r="88" spans="1:1" ht="15.75" customHeight="1">
      <c r="A88" s="2">
        <v>8.4499999999999993</v>
      </c>
    </row>
    <row r="89" spans="1:1" ht="15.75" customHeight="1">
      <c r="A89" s="2">
        <v>14.43</v>
      </c>
    </row>
    <row r="90" spans="1:1" ht="15.75" customHeight="1">
      <c r="A90" s="2">
        <v>19.5</v>
      </c>
    </row>
    <row r="91" spans="1:1" ht="15.75" customHeight="1">
      <c r="A91" s="2">
        <v>6.49</v>
      </c>
    </row>
    <row r="92" spans="1:1" ht="15.75" customHeight="1">
      <c r="A92" s="2">
        <v>2.14</v>
      </c>
    </row>
    <row r="93" spans="1:1" ht="15.75" customHeight="1">
      <c r="A93" s="2">
        <v>4.3099999999999996</v>
      </c>
    </row>
    <row r="94" spans="1:1" ht="15.75" customHeight="1">
      <c r="A94" s="2">
        <v>5.69</v>
      </c>
    </row>
    <row r="95" spans="1:1" ht="15.75" customHeight="1">
      <c r="A95" s="2">
        <v>3.1</v>
      </c>
    </row>
    <row r="96" spans="1:1" ht="15.75" customHeight="1">
      <c r="A96" s="2">
        <v>9.74</v>
      </c>
    </row>
    <row r="97" spans="1:1" ht="15.75" customHeight="1">
      <c r="A97" s="2">
        <v>7.83</v>
      </c>
    </row>
    <row r="98" spans="1:1" ht="15.75" customHeight="1">
      <c r="A98" s="2">
        <v>9.1999999999999993</v>
      </c>
    </row>
    <row r="99" spans="1:1" ht="15.75" customHeight="1">
      <c r="A99" s="2">
        <v>8.6</v>
      </c>
    </row>
    <row r="100" spans="1:1" ht="15.75" customHeight="1">
      <c r="A100" s="2">
        <v>5.97</v>
      </c>
    </row>
    <row r="101" spans="1:1" ht="15.75" customHeight="1">
      <c r="A101" s="2">
        <v>15.37</v>
      </c>
    </row>
    <row r="102" spans="1:1" ht="15.75" customHeight="1">
      <c r="A102" s="2">
        <v>5.8</v>
      </c>
    </row>
    <row r="103" spans="1:1" ht="15.75" customHeight="1">
      <c r="A103" s="2">
        <v>22.35</v>
      </c>
    </row>
    <row r="104" spans="1:1" ht="15.75" customHeight="1">
      <c r="A104" s="2">
        <v>7.64</v>
      </c>
    </row>
    <row r="105" spans="1:1" ht="15.75" customHeight="1">
      <c r="A105" s="2">
        <v>22.87</v>
      </c>
    </row>
    <row r="106" spans="1:1" ht="15.75" customHeight="1">
      <c r="A106" s="2">
        <v>4.55</v>
      </c>
    </row>
    <row r="107" spans="1:1" ht="15.75" customHeight="1">
      <c r="A107" s="2">
        <v>2.06</v>
      </c>
    </row>
    <row r="108" spans="1:1" ht="15.75" customHeight="1">
      <c r="A108" s="2">
        <v>7.38</v>
      </c>
    </row>
    <row r="109" spans="1:1" ht="15.75" customHeight="1">
      <c r="A109" s="2">
        <v>7.73</v>
      </c>
    </row>
    <row r="110" spans="1:1" ht="15.75" customHeight="1">
      <c r="A110" s="2">
        <v>19.404</v>
      </c>
    </row>
    <row r="111" spans="1:1" ht="15.75" customHeight="1">
      <c r="A111" s="2">
        <v>18.55</v>
      </c>
    </row>
    <row r="112" spans="1:1" ht="15.75" customHeight="1">
      <c r="A112" s="2">
        <v>4.45</v>
      </c>
    </row>
    <row r="113" spans="1:1" ht="15.75" customHeight="1">
      <c r="A113" s="2">
        <v>22.14</v>
      </c>
    </row>
    <row r="114" spans="1:1" ht="15.75" customHeight="1">
      <c r="A114" s="2">
        <v>8.49</v>
      </c>
    </row>
    <row r="115" spans="1:1" ht="15.75" customHeight="1">
      <c r="A115" s="2">
        <v>23.69</v>
      </c>
    </row>
    <row r="116" spans="1:1" ht="15.75" customHeight="1">
      <c r="A116" s="2">
        <v>23.16</v>
      </c>
    </row>
    <row r="117" spans="1:1" ht="15.75" customHeight="1">
      <c r="A117" s="2">
        <v>6.54</v>
      </c>
    </row>
    <row r="118" spans="1:1" ht="15.75" customHeight="1">
      <c r="A118" s="2">
        <v>10.82</v>
      </c>
    </row>
    <row r="119" spans="1:1" ht="15.75" customHeight="1">
      <c r="A119" s="2">
        <v>20.27</v>
      </c>
    </row>
    <row r="120" spans="1:1" ht="15.75" customHeight="1">
      <c r="A120" s="2">
        <v>7.24</v>
      </c>
    </row>
    <row r="121" spans="1:1" ht="15.75" customHeight="1">
      <c r="A121" s="2">
        <v>10.77</v>
      </c>
    </row>
    <row r="122" spans="1:1" ht="15.75" customHeight="1">
      <c r="A122" s="2">
        <v>4.5999999999999996</v>
      </c>
    </row>
    <row r="123" spans="1:1" ht="15.75" customHeight="1">
      <c r="A123" s="2">
        <v>11.92</v>
      </c>
    </row>
    <row r="124" spans="1:1" ht="15.75" customHeight="1">
      <c r="A124" s="2">
        <v>6.56</v>
      </c>
    </row>
    <row r="125" spans="1:1" ht="15.75" customHeight="1">
      <c r="A125" s="2">
        <v>2.73</v>
      </c>
    </row>
    <row r="126" spans="1:1" ht="15.75" customHeight="1">
      <c r="A126" s="2">
        <v>16.59</v>
      </c>
    </row>
    <row r="127" spans="1:1" ht="15.75" customHeight="1">
      <c r="A127" s="2">
        <v>8.58</v>
      </c>
    </row>
    <row r="128" spans="1:1" ht="15.75" customHeight="1">
      <c r="A128" s="2">
        <v>12.76</v>
      </c>
    </row>
    <row r="129" spans="1:1" ht="15.75" customHeight="1">
      <c r="A129" s="2">
        <v>13.29</v>
      </c>
    </row>
    <row r="130" spans="1:1" ht="15.75" customHeight="1">
      <c r="A130" s="2">
        <v>14.17</v>
      </c>
    </row>
    <row r="131" spans="1:1" ht="15.75" customHeight="1">
      <c r="A131" s="2">
        <v>18.489999999999998</v>
      </c>
    </row>
    <row r="132" spans="1:1" ht="15.75" customHeight="1">
      <c r="A132" s="2">
        <v>17.22</v>
      </c>
    </row>
    <row r="133" spans="1:1" ht="15.75" customHeight="1">
      <c r="A133" s="2">
        <v>18.22</v>
      </c>
    </row>
    <row r="134" spans="1:1" ht="15.75" customHeight="1">
      <c r="A134" s="2">
        <v>19.48</v>
      </c>
    </row>
    <row r="135" spans="1:1" ht="15.75" customHeight="1">
      <c r="A135" s="2">
        <v>9.48</v>
      </c>
    </row>
    <row r="136" spans="1:1" ht="15.75" customHeight="1">
      <c r="A136" s="2">
        <v>19.07</v>
      </c>
    </row>
    <row r="137" spans="1:1" ht="15.75" customHeight="1">
      <c r="A137" s="2">
        <v>8.6</v>
      </c>
    </row>
    <row r="138" spans="1:1" ht="15.75" customHeight="1">
      <c r="A138" s="2">
        <v>9.98</v>
      </c>
    </row>
    <row r="139" spans="1:1" ht="15.75" customHeight="1">
      <c r="A139" s="2">
        <v>21.65</v>
      </c>
    </row>
    <row r="140" spans="1:1" ht="15.75" customHeight="1">
      <c r="A140" s="2">
        <v>16.2</v>
      </c>
    </row>
    <row r="141" spans="1:1" ht="15.75" customHeight="1">
      <c r="A141" s="2">
        <v>5.99</v>
      </c>
    </row>
    <row r="142" spans="1:1" ht="15.75" customHeight="1">
      <c r="A142" s="2">
        <v>15.97</v>
      </c>
    </row>
    <row r="143" spans="1:1" ht="15.75" customHeight="1">
      <c r="A143" s="2">
        <v>3.68</v>
      </c>
    </row>
    <row r="144" spans="1:1" ht="15.75" customHeight="1">
      <c r="A144" s="2">
        <v>6.25</v>
      </c>
    </row>
    <row r="145" spans="1:1" ht="15.75" customHeight="1">
      <c r="A145" s="2">
        <v>1.34</v>
      </c>
    </row>
    <row r="146" spans="1:1" ht="15.75" customHeight="1">
      <c r="A146" s="2">
        <v>16.329999999999998</v>
      </c>
    </row>
    <row r="147" spans="1:1" ht="15.75" customHeight="1">
      <c r="A147" s="2">
        <v>22.75</v>
      </c>
    </row>
    <row r="148" spans="1:1" ht="15.75" customHeight="1">
      <c r="A148" s="2">
        <v>22.39</v>
      </c>
    </row>
    <row r="149" spans="1:1" ht="15.75" customHeight="1">
      <c r="A149" s="2">
        <v>19.39</v>
      </c>
    </row>
    <row r="150" spans="1:1" ht="15.75" customHeight="1">
      <c r="A150" s="2">
        <v>3.84</v>
      </c>
    </row>
    <row r="151" spans="1:1" ht="15.75" customHeight="1">
      <c r="A151" s="2">
        <v>20.25</v>
      </c>
    </row>
    <row r="152" spans="1:1" ht="15.75" customHeight="1"/>
    <row r="153" spans="1:1" ht="15.75" customHeight="1"/>
    <row r="154" spans="1:1" ht="15.75" customHeight="1"/>
    <row r="155" spans="1:1" ht="15.75" customHeight="1"/>
    <row r="156" spans="1:1" ht="15.75" customHeight="1"/>
    <row r="157" spans="1:1" ht="15.75" customHeight="1"/>
    <row r="158" spans="1:1" ht="15.75" customHeight="1"/>
    <row r="159" spans="1:1" ht="15.75" customHeight="1"/>
    <row r="160" spans="1:1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D10:E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1:A1000"/>
  <sheetViews>
    <sheetView workbookViewId="0"/>
  </sheetViews>
  <sheetFormatPr defaultColWidth="11.21875" defaultRowHeight="15" customHeight="1"/>
  <cols>
    <col min="1" max="26" width="8.5546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Pivot Tabel</vt:lpstr>
      <vt:lpstr>Tabel Distribusi</vt:lpstr>
      <vt:lpstr>Chart 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2025-07-24T07:29:23Z</dcterms:modified>
</cp:coreProperties>
</file>