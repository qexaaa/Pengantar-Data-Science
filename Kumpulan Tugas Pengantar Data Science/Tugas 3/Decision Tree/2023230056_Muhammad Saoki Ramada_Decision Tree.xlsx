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Semester 4\Pengantar Data Science\"/>
    </mc:Choice>
  </mc:AlternateContent>
  <xr:revisionPtr revIDLastSave="0" documentId="13_ncr:1_{514B148F-408F-4833-A0D6-6AEC6ADCC63B}" xr6:coauthVersionLast="46" xr6:coauthVersionMax="46" xr10:uidLastSave="{00000000-0000-0000-0000-000000000000}"/>
  <bookViews>
    <workbookView xWindow="-120" yWindow="-120" windowWidth="19440" windowHeight="11040" xr2:uid="{BCEBC4B1-08AF-49B6-861D-412C96DA34BE}"/>
  </bookViews>
  <sheets>
    <sheet name="Sheet1" sheetId="1" r:id="rId1"/>
  </sheets>
  <definedNames>
    <definedName name="_xlnm._FilterDatabase" localSheetId="0" hidden="1">Sheet1!$A$118:$E$134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5" i="1" l="1"/>
  <c r="H110" i="1" s="1"/>
  <c r="G108" i="1"/>
  <c r="H106" i="1" s="1"/>
  <c r="G111" i="1"/>
  <c r="G112" i="1"/>
  <c r="G76" i="1"/>
  <c r="G75" i="1"/>
  <c r="G67" i="1"/>
  <c r="G65" i="1"/>
  <c r="G25" i="1"/>
  <c r="G29" i="1"/>
  <c r="G30" i="1"/>
  <c r="G32" i="1"/>
  <c r="G33" i="1"/>
  <c r="G36" i="1"/>
  <c r="G37" i="1"/>
  <c r="G24" i="1"/>
  <c r="G22" i="1"/>
  <c r="H31" i="1" l="1"/>
  <c r="H74" i="1"/>
  <c r="H70" i="1"/>
  <c r="H66" i="1"/>
  <c r="H23" i="1"/>
  <c r="H27" i="1"/>
  <c r="H35" i="1"/>
</calcChain>
</file>

<file path=xl/sharedStrings.xml><?xml version="1.0" encoding="utf-8"?>
<sst xmlns="http://schemas.openxmlformats.org/spreadsheetml/2006/main" count="410" uniqueCount="46">
  <si>
    <t>No</t>
  </si>
  <si>
    <t>Kulit Buah</t>
  </si>
  <si>
    <t>Warna</t>
  </si>
  <si>
    <t xml:space="preserve">Ukuran </t>
  </si>
  <si>
    <t>Kelas</t>
  </si>
  <si>
    <t>Kasar</t>
  </si>
  <si>
    <t>Besar</t>
  </si>
  <si>
    <t>Hijau</t>
  </si>
  <si>
    <t>Halus</t>
  </si>
  <si>
    <t>Merah</t>
  </si>
  <si>
    <t>Lunak</t>
  </si>
  <si>
    <t>Kecil</t>
  </si>
  <si>
    <t>Keras</t>
  </si>
  <si>
    <t xml:space="preserve">Kasar </t>
  </si>
  <si>
    <t>Cokelat</t>
  </si>
  <si>
    <t>Bau</t>
  </si>
  <si>
    <t xml:space="preserve">Keras </t>
  </si>
  <si>
    <t xml:space="preserve">Aman </t>
  </si>
  <si>
    <t>Berbahaya</t>
  </si>
  <si>
    <t>Node</t>
  </si>
  <si>
    <t>Total</t>
  </si>
  <si>
    <t>Jumlah</t>
  </si>
  <si>
    <t>Entropy</t>
  </si>
  <si>
    <t>Gain</t>
  </si>
  <si>
    <t>Ukuran</t>
  </si>
  <si>
    <t>Aman</t>
  </si>
  <si>
    <t>Decision Tree</t>
  </si>
  <si>
    <r>
      <t>Dapat kita simpulkan, bahwa atribut "</t>
    </r>
    <r>
      <rPr>
        <sz val="11"/>
        <color rgb="FFFF0000"/>
        <rFont val="Calibri"/>
        <family val="2"/>
        <scheme val="minor"/>
      </rPr>
      <t>warna</t>
    </r>
    <r>
      <rPr>
        <sz val="11"/>
        <color theme="1"/>
        <rFont val="Calibri"/>
        <family val="2"/>
        <scheme val="minor"/>
      </rPr>
      <t xml:space="preserve">" memiliki Gain tertinggi, yang akan kita jadikan sebagai </t>
    </r>
    <r>
      <rPr>
        <sz val="11"/>
        <color rgb="FFFF0000"/>
        <rFont val="Calibri"/>
        <family val="2"/>
        <scheme val="minor"/>
      </rPr>
      <t>Root</t>
    </r>
  </si>
  <si>
    <r>
      <t>Atribut “</t>
    </r>
    <r>
      <rPr>
        <sz val="11"/>
        <color rgb="FFFF0000"/>
        <rFont val="Calibri"/>
        <family val="2"/>
        <scheme val="minor"/>
      </rPr>
      <t>warna</t>
    </r>
    <r>
      <rPr>
        <sz val="11"/>
        <color theme="1"/>
        <rFont val="Calibri"/>
        <family val="2"/>
        <scheme val="minor"/>
      </rPr>
      <t>” cocok sebagai pemisah, karena dapat memisahkan label dengan baik</t>
    </r>
  </si>
  <si>
    <t>Warna Hijau</t>
  </si>
  <si>
    <r>
      <t>Atribut “</t>
    </r>
    <r>
      <rPr>
        <sz val="11"/>
        <color rgb="FFFF0000"/>
        <rFont val="Calibri"/>
        <family val="2"/>
        <scheme val="minor"/>
      </rPr>
      <t>ukuran</t>
    </r>
    <r>
      <rPr>
        <sz val="11"/>
        <color theme="1"/>
        <rFont val="Calibri"/>
        <family val="2"/>
        <scheme val="minor"/>
      </rPr>
      <t>” cocok sebagai pemisah, karena dapat memisahkan label dengan baik</t>
    </r>
  </si>
  <si>
    <r>
      <t>Dapat kita simpulkan, bahwa atribut "</t>
    </r>
    <r>
      <rPr>
        <sz val="11"/>
        <color rgb="FFFF0000"/>
        <rFont val="Calibri"/>
        <family val="2"/>
        <scheme val="minor"/>
      </rPr>
      <t>ukuran</t>
    </r>
    <r>
      <rPr>
        <sz val="11"/>
        <color theme="1"/>
        <rFont val="Calibri"/>
        <family val="2"/>
        <scheme val="minor"/>
      </rPr>
      <t>" memiliki Gain tertinggi, yang akan kita jadikan sebagai</t>
    </r>
    <r>
      <rPr>
        <sz val="11"/>
        <color rgb="FFFF0000"/>
        <rFont val="Calibri"/>
        <family val="2"/>
        <scheme val="minor"/>
      </rPr>
      <t xml:space="preserve"> Node</t>
    </r>
    <r>
      <rPr>
        <sz val="11"/>
        <color theme="1"/>
        <rFont val="Calibri"/>
        <family val="2"/>
        <scheme val="minor"/>
      </rPr>
      <t xml:space="preserve"> ke-2</t>
    </r>
  </si>
  <si>
    <t>Warna Merah</t>
  </si>
  <si>
    <r>
      <t>Dapat kita simpulkan, bahwa atribut "</t>
    </r>
    <r>
      <rPr>
        <sz val="11"/>
        <color rgb="FFFF0000"/>
        <rFont val="Calibri"/>
        <family val="2"/>
        <scheme val="minor"/>
      </rPr>
      <t>Kulit Buah</t>
    </r>
    <r>
      <rPr>
        <sz val="11"/>
        <color theme="1"/>
        <rFont val="Calibri"/>
        <family val="2"/>
        <scheme val="minor"/>
      </rPr>
      <t>" memiliki Gain tertinggi, yang akan kita jadikan sebagai Node ke-3</t>
    </r>
  </si>
  <si>
    <r>
      <t>Atribut “</t>
    </r>
    <r>
      <rPr>
        <sz val="11"/>
        <color rgb="FFFF0000"/>
        <rFont val="Calibri"/>
        <family val="2"/>
        <scheme val="minor"/>
      </rPr>
      <t>Kulit Buah</t>
    </r>
    <r>
      <rPr>
        <sz val="11"/>
        <color theme="1"/>
        <rFont val="Calibri"/>
        <family val="2"/>
        <scheme val="minor"/>
      </rPr>
      <t>” cocok sebagai pemisah, karena dapat memisahkan label dengan baik</t>
    </r>
  </si>
  <si>
    <t>IF Warna = "Hijau" AND Ukuran = "Besar" THEN "Aman"</t>
  </si>
  <si>
    <t>IF Warna = "Hijau" AND Ukuran = "Kecil" THEN "Berbahaya"</t>
  </si>
  <si>
    <t>IF Warna = "Cokelat" THEN "Aman"</t>
  </si>
  <si>
    <t>IF Warna = "Merah" AND Kulit Buah = "Kasar" THEN "Aman"</t>
  </si>
  <si>
    <t>IF Warna = "Merah" AND Kulit Buah = "Halus" THEN "Berbahaya"</t>
  </si>
  <si>
    <t xml:space="preserve">Kesimpulan </t>
  </si>
  <si>
    <t>Buah dinyatakan "Aman" untuk dikonsumsi apabila:</t>
  </si>
  <si>
    <t>Berwarna cokelat (apapun kondisi lainnya), atau</t>
  </si>
  <si>
    <t>Berwarna hijau dan berukuran besar, atau</t>
  </si>
  <si>
    <t>Berwarna merah dan memiliki kulit yang kasar.</t>
  </si>
  <si>
    <t>Root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</si>
</sst>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0" borderId="8" xfId="0" applyBorder="1"/>
    <xf numFmtId="0" fontId="0" fillId="0" borderId="4" xfId="0" applyBorder="1"/>
    <xf numFmtId="0" fontId="0" fillId="0" borderId="5" xfId="0" applyBorder="1"/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0" xfId="0" applyFont="1"/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8" borderId="10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1" fillId="0" borderId="0" xfId="0" applyFont="1"/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335583</xdr:colOff>
      <xdr:row>5</xdr:row>
      <xdr:rowOff>29001</xdr:rowOff>
    </xdr:from>
    <xdr:to>
      <xdr:col>22</xdr:col>
      <xdr:colOff>212766</xdr:colOff>
      <xdr:row>9</xdr:row>
      <xdr:rowOff>29002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8525D94-1E9F-47B7-B2EC-C65B277006A6}"/>
            </a:ext>
          </a:extLst>
        </xdr:cNvPr>
        <xdr:cNvSpPr/>
      </xdr:nvSpPr>
      <xdr:spPr>
        <a:xfrm>
          <a:off x="12348746" y="1020379"/>
          <a:ext cx="1684989" cy="77755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2000" b="1"/>
            <a:t>Warna</a:t>
          </a:r>
        </a:p>
      </xdr:txBody>
    </xdr:sp>
    <xdr:clientData/>
  </xdr:twoCellAnchor>
  <xdr:twoCellAnchor>
    <xdr:from>
      <xdr:col>17</xdr:col>
      <xdr:colOff>309849</xdr:colOff>
      <xdr:row>8</xdr:row>
      <xdr:rowOff>180101</xdr:rowOff>
    </xdr:from>
    <xdr:to>
      <xdr:col>19</xdr:col>
      <xdr:colOff>413132</xdr:colOff>
      <xdr:row>14</xdr:row>
      <xdr:rowOff>19439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84847EFE-8E10-4592-B218-2EEF9DB9A8CA}"/>
            </a:ext>
          </a:extLst>
        </xdr:cNvPr>
        <xdr:cNvCxnSpPr/>
      </xdr:nvCxnSpPr>
      <xdr:spPr>
        <a:xfrm flipH="1">
          <a:off x="11117808" y="1754642"/>
          <a:ext cx="1308487" cy="10056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588485</xdr:colOff>
      <xdr:row>9</xdr:row>
      <xdr:rowOff>401</xdr:rowOff>
    </xdr:from>
    <xdr:to>
      <xdr:col>20</xdr:col>
      <xdr:colOff>596747</xdr:colOff>
      <xdr:row>17</xdr:row>
      <xdr:rowOff>19439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E18F1A3-4864-4AE7-9FA4-E8ACF197FB06}"/>
            </a:ext>
          </a:extLst>
        </xdr:cNvPr>
        <xdr:cNvCxnSpPr/>
      </xdr:nvCxnSpPr>
      <xdr:spPr>
        <a:xfrm>
          <a:off x="13204250" y="1769330"/>
          <a:ext cx="8262" cy="15741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201145</xdr:colOff>
      <xdr:row>6</xdr:row>
      <xdr:rowOff>184817</xdr:rowOff>
    </xdr:from>
    <xdr:to>
      <xdr:col>24</xdr:col>
      <xdr:colOff>71631</xdr:colOff>
      <xdr:row>12</xdr:row>
      <xdr:rowOff>39144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C7EF3A7D-A6AD-4DE0-83D1-184AD018E5FA}"/>
            </a:ext>
          </a:extLst>
        </xdr:cNvPr>
        <xdr:cNvCxnSpPr/>
      </xdr:nvCxnSpPr>
      <xdr:spPr>
        <a:xfrm>
          <a:off x="14553885" y="1372180"/>
          <a:ext cx="1096993" cy="102864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67400</xdr:colOff>
      <xdr:row>11</xdr:row>
      <xdr:rowOff>57930</xdr:rowOff>
    </xdr:from>
    <xdr:to>
      <xdr:col>21</xdr:col>
      <xdr:colOff>247874</xdr:colOff>
      <xdr:row>14</xdr:row>
      <xdr:rowOff>182703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D3B18D2-6AA3-486E-BEAE-B5AD2D58F7AD}"/>
            </a:ext>
          </a:extLst>
        </xdr:cNvPr>
        <xdr:cNvSpPr txBox="1"/>
      </xdr:nvSpPr>
      <xdr:spPr>
        <a:xfrm rot="5400000">
          <a:off x="13546667" y="2432497"/>
          <a:ext cx="696273" cy="1804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100"/>
            <a:t>Cokelat</a:t>
          </a:r>
        </a:p>
      </xdr:txBody>
    </xdr:sp>
    <xdr:clientData/>
  </xdr:twoCellAnchor>
  <xdr:twoCellAnchor>
    <xdr:from>
      <xdr:col>17</xdr:col>
      <xdr:colOff>594669</xdr:colOff>
      <xdr:row>10</xdr:row>
      <xdr:rowOff>29299</xdr:rowOff>
    </xdr:from>
    <xdr:to>
      <xdr:col>19</xdr:col>
      <xdr:colOff>58818</xdr:colOff>
      <xdr:row>11</xdr:row>
      <xdr:rowOff>19273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C7733F58-CC87-4CF8-962A-5118F1B2A8B2}"/>
            </a:ext>
          </a:extLst>
        </xdr:cNvPr>
        <xdr:cNvSpPr txBox="1"/>
      </xdr:nvSpPr>
      <xdr:spPr>
        <a:xfrm rot="19463650">
          <a:off x="11876502" y="1955466"/>
          <a:ext cx="691816" cy="1804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100"/>
            <a:t>Merah</a:t>
          </a:r>
        </a:p>
      </xdr:txBody>
    </xdr:sp>
    <xdr:clientData/>
  </xdr:twoCellAnchor>
  <xdr:twoCellAnchor>
    <xdr:from>
      <xdr:col>22</xdr:col>
      <xdr:colOff>533453</xdr:colOff>
      <xdr:row>8</xdr:row>
      <xdr:rowOff>89277</xdr:rowOff>
    </xdr:from>
    <xdr:to>
      <xdr:col>24</xdr:col>
      <xdr:colOff>410</xdr:colOff>
      <xdr:row>9</xdr:row>
      <xdr:rowOff>79250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AF94F5C-A941-4662-BD53-D5138E79ABD7}"/>
            </a:ext>
          </a:extLst>
        </xdr:cNvPr>
        <xdr:cNvSpPr txBox="1"/>
      </xdr:nvSpPr>
      <xdr:spPr>
        <a:xfrm rot="2475866">
          <a:off x="14886193" y="1668078"/>
          <a:ext cx="693464" cy="1856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100"/>
            <a:t>Hijau</a:t>
          </a:r>
        </a:p>
      </xdr:txBody>
    </xdr:sp>
    <xdr:clientData/>
  </xdr:twoCellAnchor>
  <xdr:twoCellAnchor>
    <xdr:from>
      <xdr:col>20</xdr:col>
      <xdr:colOff>70019</xdr:colOff>
      <xdr:row>17</xdr:row>
      <xdr:rowOff>144150</xdr:rowOff>
    </xdr:from>
    <xdr:to>
      <xdr:col>22</xdr:col>
      <xdr:colOff>95616</xdr:colOff>
      <xdr:row>20</xdr:row>
      <xdr:rowOff>144500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8A7BACD9-666C-431E-8438-931EC8DEE4AA}"/>
            </a:ext>
          </a:extLst>
        </xdr:cNvPr>
        <xdr:cNvSpPr/>
      </xdr:nvSpPr>
      <xdr:spPr>
        <a:xfrm>
          <a:off x="13123953" y="3345175"/>
          <a:ext cx="1243548" cy="57809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2000" b="1"/>
            <a:t>Aman</a:t>
          </a:r>
          <a:r>
            <a:rPr lang="en-ID" sz="1100" baseline="0"/>
            <a:t> </a:t>
          </a:r>
          <a:endParaRPr lang="en-ID" sz="1100"/>
        </a:p>
      </xdr:txBody>
    </xdr:sp>
    <xdr:clientData/>
  </xdr:twoCellAnchor>
  <xdr:twoCellAnchor>
    <xdr:from>
      <xdr:col>24</xdr:col>
      <xdr:colOff>39144</xdr:colOff>
      <xdr:row>12</xdr:row>
      <xdr:rowOff>78288</xdr:rowOff>
    </xdr:from>
    <xdr:to>
      <xdr:col>26</xdr:col>
      <xdr:colOff>13049</xdr:colOff>
      <xdr:row>16</xdr:row>
      <xdr:rowOff>52193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2E7A839C-2872-4ABD-9A89-6772BEF1102F}"/>
            </a:ext>
          </a:extLst>
        </xdr:cNvPr>
        <xdr:cNvSpPr/>
      </xdr:nvSpPr>
      <xdr:spPr>
        <a:xfrm>
          <a:off x="15618391" y="2439966"/>
          <a:ext cx="1200411" cy="75678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2000" b="1"/>
            <a:t>Ukuran</a:t>
          </a:r>
        </a:p>
      </xdr:txBody>
    </xdr:sp>
    <xdr:clientData/>
  </xdr:twoCellAnchor>
  <xdr:twoCellAnchor>
    <xdr:from>
      <xdr:col>23</xdr:col>
      <xdr:colOff>300103</xdr:colOff>
      <xdr:row>15</xdr:row>
      <xdr:rowOff>161856</xdr:rowOff>
    </xdr:from>
    <xdr:to>
      <xdr:col>24</xdr:col>
      <xdr:colOff>169996</xdr:colOff>
      <xdr:row>20</xdr:row>
      <xdr:rowOff>13047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F4ABED5E-345C-4B73-880A-852FFBD50A0E}"/>
            </a:ext>
          </a:extLst>
        </xdr:cNvPr>
        <xdr:cNvCxnSpPr/>
      </xdr:nvCxnSpPr>
      <xdr:spPr>
        <a:xfrm flipH="1">
          <a:off x="15266096" y="3110692"/>
          <a:ext cx="483147" cy="8297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295500</xdr:colOff>
      <xdr:row>15</xdr:row>
      <xdr:rowOff>162545</xdr:rowOff>
    </xdr:from>
    <xdr:to>
      <xdr:col>23</xdr:col>
      <xdr:colOff>481193</xdr:colOff>
      <xdr:row>19</xdr:row>
      <xdr:rowOff>74781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E3D1F7A1-AD5C-4F2D-9A56-0349B20EDB77}"/>
            </a:ext>
          </a:extLst>
        </xdr:cNvPr>
        <xdr:cNvSpPr txBox="1"/>
      </xdr:nvSpPr>
      <xdr:spPr>
        <a:xfrm rot="18038123">
          <a:off x="15006784" y="3366090"/>
          <a:ext cx="695112" cy="1856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100"/>
            <a:t>Besar</a:t>
          </a:r>
        </a:p>
      </xdr:txBody>
    </xdr:sp>
    <xdr:clientData/>
  </xdr:twoCellAnchor>
  <xdr:twoCellAnchor>
    <xdr:from>
      <xdr:col>25</xdr:col>
      <xdr:colOff>443630</xdr:colOff>
      <xdr:row>15</xdr:row>
      <xdr:rowOff>65239</xdr:rowOff>
    </xdr:from>
    <xdr:to>
      <xdr:col>26</xdr:col>
      <xdr:colOff>495822</xdr:colOff>
      <xdr:row>20</xdr:row>
      <xdr:rowOff>39143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2C81F9C1-4194-44B9-94EC-788EE9EE5AAD}"/>
            </a:ext>
          </a:extLst>
        </xdr:cNvPr>
        <xdr:cNvCxnSpPr/>
      </xdr:nvCxnSpPr>
      <xdr:spPr>
        <a:xfrm>
          <a:off x="16636130" y="3014075"/>
          <a:ext cx="665445" cy="952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248662</xdr:colOff>
      <xdr:row>15</xdr:row>
      <xdr:rowOff>142499</xdr:rowOff>
    </xdr:from>
    <xdr:to>
      <xdr:col>26</xdr:col>
      <xdr:colOff>434355</xdr:colOff>
      <xdr:row>19</xdr:row>
      <xdr:rowOff>53087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95386073-EFD6-445F-BBE8-5348C9EA6576}"/>
            </a:ext>
          </a:extLst>
        </xdr:cNvPr>
        <xdr:cNvSpPr txBox="1"/>
      </xdr:nvSpPr>
      <xdr:spPr>
        <a:xfrm rot="3299543">
          <a:off x="16800530" y="3345220"/>
          <a:ext cx="693464" cy="1856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100"/>
            <a:t>Kecil</a:t>
          </a:r>
        </a:p>
      </xdr:txBody>
    </xdr:sp>
    <xdr:clientData/>
  </xdr:twoCellAnchor>
  <xdr:twoCellAnchor>
    <xdr:from>
      <xdr:col>14</xdr:col>
      <xdr:colOff>591237</xdr:colOff>
      <xdr:row>22</xdr:row>
      <xdr:rowOff>174290</xdr:rowOff>
    </xdr:from>
    <xdr:to>
      <xdr:col>16</xdr:col>
      <xdr:colOff>622272</xdr:colOff>
      <xdr:row>25</xdr:row>
      <xdr:rowOff>185224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AE41663C-C29E-47C2-B324-DC0F4CF88361}"/>
            </a:ext>
          </a:extLst>
        </xdr:cNvPr>
        <xdr:cNvSpPr/>
      </xdr:nvSpPr>
      <xdr:spPr>
        <a:xfrm>
          <a:off x="9692904" y="4418207"/>
          <a:ext cx="1258701" cy="614184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2000" b="1"/>
            <a:t>Aman</a:t>
          </a:r>
          <a:r>
            <a:rPr lang="en-ID" sz="1100" baseline="0"/>
            <a:t> </a:t>
          </a:r>
          <a:endParaRPr lang="en-ID" sz="1100"/>
        </a:p>
      </xdr:txBody>
    </xdr:sp>
    <xdr:clientData/>
  </xdr:twoCellAnchor>
  <xdr:twoCellAnchor>
    <xdr:from>
      <xdr:col>25</xdr:col>
      <xdr:colOff>430342</xdr:colOff>
      <xdr:row>20</xdr:row>
      <xdr:rowOff>143526</xdr:rowOff>
    </xdr:from>
    <xdr:to>
      <xdr:col>28</xdr:col>
      <xdr:colOff>521919</xdr:colOff>
      <xdr:row>23</xdr:row>
      <xdr:rowOff>80869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40AE2541-F73D-4012-97D5-007A077C70D8}"/>
            </a:ext>
          </a:extLst>
        </xdr:cNvPr>
        <xdr:cNvSpPr/>
      </xdr:nvSpPr>
      <xdr:spPr>
        <a:xfrm>
          <a:off x="16622842" y="4070958"/>
          <a:ext cx="1931337" cy="52450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2000" b="1" baseline="0"/>
            <a:t>Berbahaya</a:t>
          </a:r>
          <a:r>
            <a:rPr lang="en-ID" sz="1100" baseline="0"/>
            <a:t> </a:t>
          </a:r>
          <a:endParaRPr lang="en-ID" sz="1100"/>
        </a:p>
      </xdr:txBody>
    </xdr:sp>
    <xdr:clientData/>
  </xdr:twoCellAnchor>
  <xdr:twoCellAnchor>
    <xdr:from>
      <xdr:col>16</xdr:col>
      <xdr:colOff>381000</xdr:colOff>
      <xdr:row>14</xdr:row>
      <xdr:rowOff>95250</xdr:rowOff>
    </xdr:from>
    <xdr:to>
      <xdr:col>18</xdr:col>
      <xdr:colOff>373461</xdr:colOff>
      <xdr:row>18</xdr:row>
      <xdr:rowOff>53788</xdr:rowOff>
    </xdr:to>
    <xdr:sp macro="" textlink="">
      <xdr:nvSpPr>
        <xdr:cNvPr id="41" name="Rectangle: Rounded Corners 40">
          <a:extLst>
            <a:ext uri="{FF2B5EF4-FFF2-40B4-BE49-F238E27FC236}">
              <a16:creationId xmlns:a16="http://schemas.microsoft.com/office/drawing/2014/main" id="{D136F156-E6C8-4178-AF2A-8B5B191A8A68}"/>
            </a:ext>
          </a:extLst>
        </xdr:cNvPr>
        <xdr:cNvSpPr/>
      </xdr:nvSpPr>
      <xdr:spPr>
        <a:xfrm>
          <a:off x="10710333" y="2783417"/>
          <a:ext cx="1558795" cy="72053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2000" b="1"/>
            <a:t>Kulit</a:t>
          </a:r>
          <a:r>
            <a:rPr lang="en-ID" sz="2000" b="1" baseline="0"/>
            <a:t> buah </a:t>
          </a:r>
          <a:endParaRPr lang="en-ID" sz="2000" b="1"/>
        </a:p>
      </xdr:txBody>
    </xdr:sp>
    <xdr:clientData/>
  </xdr:twoCellAnchor>
  <xdr:twoCellAnchor>
    <xdr:from>
      <xdr:col>16</xdr:col>
      <xdr:colOff>36680</xdr:colOff>
      <xdr:row>17</xdr:row>
      <xdr:rowOff>157942</xdr:rowOff>
    </xdr:from>
    <xdr:to>
      <xdr:col>16</xdr:col>
      <xdr:colOff>520407</xdr:colOff>
      <xdr:row>21</xdr:row>
      <xdr:rowOff>189050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EE952F00-92FB-47A6-8EE3-75FBC83843B8}"/>
            </a:ext>
          </a:extLst>
        </xdr:cNvPr>
        <xdr:cNvCxnSpPr/>
      </xdr:nvCxnSpPr>
      <xdr:spPr>
        <a:xfrm flipH="1">
          <a:off x="10366013" y="3417609"/>
          <a:ext cx="483727" cy="8142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32077</xdr:colOff>
      <xdr:row>17</xdr:row>
      <xdr:rowOff>158631</xdr:rowOff>
    </xdr:from>
    <xdr:to>
      <xdr:col>16</xdr:col>
      <xdr:colOff>217770</xdr:colOff>
      <xdr:row>21</xdr:row>
      <xdr:rowOff>49701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50D3F6FE-1F62-4287-92E9-6F438AFFC4F9}"/>
            </a:ext>
          </a:extLst>
        </xdr:cNvPr>
        <xdr:cNvSpPr txBox="1"/>
      </xdr:nvSpPr>
      <xdr:spPr>
        <a:xfrm rot="18038123">
          <a:off x="10117139" y="3662569"/>
          <a:ext cx="674236" cy="1856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100"/>
            <a:t>Kasar</a:t>
          </a:r>
        </a:p>
      </xdr:txBody>
    </xdr:sp>
    <xdr:clientData/>
  </xdr:twoCellAnchor>
  <xdr:twoCellAnchor>
    <xdr:from>
      <xdr:col>18</xdr:col>
      <xdr:colOff>168463</xdr:colOff>
      <xdr:row>17</xdr:row>
      <xdr:rowOff>71908</xdr:rowOff>
    </xdr:from>
    <xdr:to>
      <xdr:col>19</xdr:col>
      <xdr:colOff>220655</xdr:colOff>
      <xdr:row>22</xdr:row>
      <xdr:rowOff>24645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975899C2-C87F-4F75-825B-95F42301E7DD}"/>
            </a:ext>
          </a:extLst>
        </xdr:cNvPr>
        <xdr:cNvCxnSpPr/>
      </xdr:nvCxnSpPr>
      <xdr:spPr>
        <a:xfrm>
          <a:off x="12064130" y="3331575"/>
          <a:ext cx="666025" cy="9369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587328</xdr:colOff>
      <xdr:row>17</xdr:row>
      <xdr:rowOff>149168</xdr:rowOff>
    </xdr:from>
    <xdr:to>
      <xdr:col>19</xdr:col>
      <xdr:colOff>159188</xdr:colOff>
      <xdr:row>21</xdr:row>
      <xdr:rowOff>38590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EA71165C-54DE-4469-8F77-44EF8E1D0077}"/>
            </a:ext>
          </a:extLst>
        </xdr:cNvPr>
        <xdr:cNvSpPr txBox="1"/>
      </xdr:nvSpPr>
      <xdr:spPr>
        <a:xfrm rot="3299543">
          <a:off x="12239548" y="3652282"/>
          <a:ext cx="672588" cy="1856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100"/>
            <a:t>Halus</a:t>
          </a:r>
        </a:p>
      </xdr:txBody>
    </xdr:sp>
    <xdr:clientData/>
  </xdr:twoCellAnchor>
  <xdr:twoCellAnchor>
    <xdr:from>
      <xdr:col>18</xdr:col>
      <xdr:colOff>17592</xdr:colOff>
      <xdr:row>22</xdr:row>
      <xdr:rowOff>133958</xdr:rowOff>
    </xdr:from>
    <xdr:to>
      <xdr:col>21</xdr:col>
      <xdr:colOff>109169</xdr:colOff>
      <xdr:row>25</xdr:row>
      <xdr:rowOff>71301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6CAE7BA8-3090-4A85-9EBC-8B16F6954969}"/>
            </a:ext>
          </a:extLst>
        </xdr:cNvPr>
        <xdr:cNvSpPr/>
      </xdr:nvSpPr>
      <xdr:spPr>
        <a:xfrm>
          <a:off x="11913259" y="4377875"/>
          <a:ext cx="1933077" cy="540593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2000" b="1" baseline="0"/>
            <a:t>Berbahaya</a:t>
          </a:r>
          <a:r>
            <a:rPr lang="en-ID" sz="1100" baseline="0"/>
            <a:t> </a:t>
          </a:r>
          <a:endParaRPr lang="en-ID" sz="1100"/>
        </a:p>
      </xdr:txBody>
    </xdr:sp>
    <xdr:clientData/>
  </xdr:twoCellAnchor>
  <xdr:twoCellAnchor>
    <xdr:from>
      <xdr:col>22</xdr:col>
      <xdr:colOff>284878</xdr:colOff>
      <xdr:row>20</xdr:row>
      <xdr:rowOff>124788</xdr:rowOff>
    </xdr:from>
    <xdr:to>
      <xdr:col>24</xdr:col>
      <xdr:colOff>310475</xdr:colOff>
      <xdr:row>23</xdr:row>
      <xdr:rowOff>93907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58C3B25F-DB02-454C-B605-8981DFDEF0E4}"/>
            </a:ext>
          </a:extLst>
        </xdr:cNvPr>
        <xdr:cNvSpPr/>
      </xdr:nvSpPr>
      <xdr:spPr>
        <a:xfrm>
          <a:off x="14556763" y="3903558"/>
          <a:ext cx="1243548" cy="57809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2000" b="1"/>
            <a:t>Aman</a:t>
          </a:r>
          <a:r>
            <a:rPr lang="en-ID" sz="1100" baseline="0"/>
            <a:t> </a:t>
          </a:r>
          <a:endParaRPr lang="en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3FF39-43B2-4394-B32F-D87767120378}">
  <dimension ref="A1:U136"/>
  <sheetViews>
    <sheetView tabSelected="1" zoomScale="63" zoomScaleNormal="85" workbookViewId="0">
      <selection activeCell="K27" sqref="K27"/>
    </sheetView>
  </sheetViews>
  <sheetFormatPr defaultRowHeight="15" x14ac:dyDescent="0.25"/>
  <cols>
    <col min="1" max="1" width="11.28515625" bestFit="1" customWidth="1"/>
    <col min="2" max="2" width="11.140625" bestFit="1" customWidth="1"/>
    <col min="5" max="5" width="11.7109375" bestFit="1" customWidth="1"/>
    <col min="6" max="6" width="10.28515625" bestFit="1" customWidth="1"/>
    <col min="17" max="17" width="14.28515625" bestFit="1" customWidth="1"/>
  </cols>
  <sheetData>
    <row r="1" spans="1:21" ht="16.5" thickBot="1" x14ac:dyDescent="0.3">
      <c r="A1" s="3" t="s">
        <v>0</v>
      </c>
      <c r="B1" s="5" t="s">
        <v>1</v>
      </c>
      <c r="C1" s="5" t="s">
        <v>2</v>
      </c>
      <c r="D1" s="5" t="s">
        <v>3</v>
      </c>
      <c r="E1" s="5" t="s">
        <v>15</v>
      </c>
      <c r="F1" s="1" t="s">
        <v>4</v>
      </c>
    </row>
    <row r="2" spans="1:21" x14ac:dyDescent="0.25">
      <c r="A2" s="4">
        <v>1</v>
      </c>
      <c r="B2" s="6" t="s">
        <v>5</v>
      </c>
      <c r="C2" s="9" t="s">
        <v>14</v>
      </c>
      <c r="D2" s="10" t="s">
        <v>6</v>
      </c>
      <c r="E2" s="7" t="s">
        <v>16</v>
      </c>
      <c r="F2" s="2" t="s">
        <v>17</v>
      </c>
    </row>
    <row r="3" spans="1:21" x14ac:dyDescent="0.25">
      <c r="A3" s="4">
        <v>2</v>
      </c>
      <c r="B3" s="6" t="s">
        <v>5</v>
      </c>
      <c r="C3" s="8" t="s">
        <v>7</v>
      </c>
      <c r="D3" s="8" t="s">
        <v>6</v>
      </c>
      <c r="E3" s="8" t="s">
        <v>16</v>
      </c>
      <c r="F3" s="2" t="s">
        <v>17</v>
      </c>
    </row>
    <row r="4" spans="1:21" x14ac:dyDescent="0.25">
      <c r="A4" s="4">
        <v>3</v>
      </c>
      <c r="B4" s="6" t="s">
        <v>8</v>
      </c>
      <c r="C4" s="7" t="s">
        <v>9</v>
      </c>
      <c r="D4" s="7" t="s">
        <v>6</v>
      </c>
      <c r="E4" s="7" t="s">
        <v>10</v>
      </c>
      <c r="F4" s="2" t="s">
        <v>18</v>
      </c>
      <c r="U4" s="18" t="s">
        <v>26</v>
      </c>
    </row>
    <row r="5" spans="1:21" x14ac:dyDescent="0.25">
      <c r="A5" s="4">
        <v>4</v>
      </c>
      <c r="B5" s="6" t="s">
        <v>13</v>
      </c>
      <c r="C5" s="8" t="s">
        <v>7</v>
      </c>
      <c r="D5" s="8" t="s">
        <v>6</v>
      </c>
      <c r="E5" s="8" t="s">
        <v>10</v>
      </c>
      <c r="F5" s="2" t="s">
        <v>17</v>
      </c>
    </row>
    <row r="6" spans="1:21" x14ac:dyDescent="0.25">
      <c r="A6" s="4">
        <v>5</v>
      </c>
      <c r="B6" s="6" t="s">
        <v>13</v>
      </c>
      <c r="C6" s="7" t="s">
        <v>9</v>
      </c>
      <c r="D6" s="7" t="s">
        <v>11</v>
      </c>
      <c r="E6" s="7" t="s">
        <v>16</v>
      </c>
      <c r="F6" s="2" t="s">
        <v>17</v>
      </c>
    </row>
    <row r="7" spans="1:21" x14ac:dyDescent="0.25">
      <c r="A7" s="4">
        <v>6</v>
      </c>
      <c r="B7" s="6" t="s">
        <v>8</v>
      </c>
      <c r="C7" s="8" t="s">
        <v>9</v>
      </c>
      <c r="D7" s="8" t="s">
        <v>11</v>
      </c>
      <c r="E7" s="8" t="s">
        <v>16</v>
      </c>
      <c r="F7" s="2" t="s">
        <v>17</v>
      </c>
    </row>
    <row r="8" spans="1:21" x14ac:dyDescent="0.25">
      <c r="A8" s="4">
        <v>7</v>
      </c>
      <c r="B8" s="6" t="s">
        <v>8</v>
      </c>
      <c r="C8" s="7" t="s">
        <v>14</v>
      </c>
      <c r="D8" s="7" t="s">
        <v>11</v>
      </c>
      <c r="E8" s="7" t="s">
        <v>16</v>
      </c>
      <c r="F8" s="2" t="s">
        <v>17</v>
      </c>
    </row>
    <row r="9" spans="1:21" x14ac:dyDescent="0.25">
      <c r="A9" s="4">
        <v>8</v>
      </c>
      <c r="B9" s="6" t="s">
        <v>5</v>
      </c>
      <c r="C9" s="8" t="s">
        <v>7</v>
      </c>
      <c r="D9" s="8" t="s">
        <v>11</v>
      </c>
      <c r="E9" s="8" t="s">
        <v>10</v>
      </c>
      <c r="F9" s="2" t="s">
        <v>18</v>
      </c>
    </row>
    <row r="10" spans="1:21" x14ac:dyDescent="0.25">
      <c r="A10" s="4">
        <v>9</v>
      </c>
      <c r="B10" s="6" t="s">
        <v>8</v>
      </c>
      <c r="C10" s="7" t="s">
        <v>7</v>
      </c>
      <c r="D10" s="7" t="s">
        <v>11</v>
      </c>
      <c r="E10" s="7" t="s">
        <v>16</v>
      </c>
      <c r="F10" s="2" t="s">
        <v>18</v>
      </c>
    </row>
    <row r="11" spans="1:21" x14ac:dyDescent="0.25">
      <c r="A11" s="4">
        <v>10</v>
      </c>
      <c r="B11" s="6" t="s">
        <v>5</v>
      </c>
      <c r="C11" s="8" t="s">
        <v>9</v>
      </c>
      <c r="D11" s="8" t="s">
        <v>6</v>
      </c>
      <c r="E11" s="8" t="s">
        <v>16</v>
      </c>
      <c r="F11" s="2" t="s">
        <v>17</v>
      </c>
    </row>
    <row r="12" spans="1:21" x14ac:dyDescent="0.25">
      <c r="A12" s="4">
        <v>11</v>
      </c>
      <c r="B12" s="6" t="s">
        <v>8</v>
      </c>
      <c r="C12" s="7" t="s">
        <v>14</v>
      </c>
      <c r="D12" s="7" t="s">
        <v>6</v>
      </c>
      <c r="E12" s="7" t="s">
        <v>10</v>
      </c>
      <c r="F12" s="2" t="s">
        <v>17</v>
      </c>
    </row>
    <row r="13" spans="1:21" x14ac:dyDescent="0.25">
      <c r="A13" s="4">
        <v>12</v>
      </c>
      <c r="B13" s="6" t="s">
        <v>8</v>
      </c>
      <c r="C13" s="8" t="s">
        <v>7</v>
      </c>
      <c r="D13" s="8" t="s">
        <v>11</v>
      </c>
      <c r="E13" s="8" t="s">
        <v>16</v>
      </c>
      <c r="F13" s="2" t="s">
        <v>18</v>
      </c>
    </row>
    <row r="14" spans="1:21" x14ac:dyDescent="0.25">
      <c r="A14" s="4">
        <v>13</v>
      </c>
      <c r="B14" s="6" t="s">
        <v>5</v>
      </c>
      <c r="C14" s="7" t="s">
        <v>9</v>
      </c>
      <c r="D14" s="7" t="s">
        <v>11</v>
      </c>
      <c r="E14" s="7" t="s">
        <v>10</v>
      </c>
      <c r="F14" s="2" t="s">
        <v>17</v>
      </c>
    </row>
    <row r="15" spans="1:21" x14ac:dyDescent="0.25">
      <c r="A15" s="4">
        <v>14</v>
      </c>
      <c r="B15" s="6" t="s">
        <v>8</v>
      </c>
      <c r="C15" s="8" t="s">
        <v>9</v>
      </c>
      <c r="D15" s="8" t="s">
        <v>6</v>
      </c>
      <c r="E15" s="8" t="s">
        <v>16</v>
      </c>
      <c r="F15" s="2" t="s">
        <v>18</v>
      </c>
    </row>
    <row r="16" spans="1:21" x14ac:dyDescent="0.25">
      <c r="A16" s="4">
        <v>15</v>
      </c>
      <c r="B16" s="6" t="s">
        <v>8</v>
      </c>
      <c r="C16" s="7" t="s">
        <v>9</v>
      </c>
      <c r="D16" s="7" t="s">
        <v>11</v>
      </c>
      <c r="E16" s="7" t="s">
        <v>16</v>
      </c>
      <c r="F16" s="2" t="s">
        <v>17</v>
      </c>
    </row>
    <row r="17" spans="1:17" x14ac:dyDescent="0.25">
      <c r="A17" s="4">
        <v>16</v>
      </c>
      <c r="B17" s="6" t="s">
        <v>5</v>
      </c>
      <c r="C17" s="8" t="s">
        <v>7</v>
      </c>
      <c r="D17" s="8" t="s">
        <v>11</v>
      </c>
      <c r="E17" s="8" t="s">
        <v>16</v>
      </c>
      <c r="F17" s="2" t="s">
        <v>18</v>
      </c>
    </row>
    <row r="20" spans="1:17" ht="15.75" thickBot="1" x14ac:dyDescent="0.3">
      <c r="A20" t="s">
        <v>45</v>
      </c>
    </row>
    <row r="21" spans="1:17" ht="15.75" thickBot="1" x14ac:dyDescent="0.3">
      <c r="A21" s="17" t="s">
        <v>19</v>
      </c>
      <c r="B21" s="17"/>
      <c r="C21" s="17"/>
      <c r="D21" s="17" t="s">
        <v>21</v>
      </c>
      <c r="E21" s="17" t="s">
        <v>25</v>
      </c>
      <c r="F21" s="17" t="s">
        <v>18</v>
      </c>
      <c r="G21" s="17" t="s">
        <v>22</v>
      </c>
      <c r="H21" s="17" t="s">
        <v>23</v>
      </c>
      <c r="J21" s="27"/>
    </row>
    <row r="22" spans="1:17" ht="15.75" thickBot="1" x14ac:dyDescent="0.3">
      <c r="A22" s="17">
        <v>1</v>
      </c>
      <c r="B22" s="17" t="s">
        <v>20</v>
      </c>
      <c r="C22" s="17"/>
      <c r="D22" s="17">
        <v>16</v>
      </c>
      <c r="E22" s="17">
        <v>10</v>
      </c>
      <c r="F22" s="17">
        <v>6</v>
      </c>
      <c r="G22" s="17">
        <f>((-E22/D22*LOG(E22/D22,2))+((-F22/D22*LOG(F22/D22,2))))</f>
        <v>0.95443400292496494</v>
      </c>
      <c r="H22" s="17"/>
    </row>
    <row r="23" spans="1:17" ht="15.75" thickBot="1" x14ac:dyDescent="0.3">
      <c r="A23" s="14"/>
      <c r="B23" s="37" t="s">
        <v>1</v>
      </c>
      <c r="D23" s="14"/>
      <c r="E23" s="14"/>
      <c r="F23" s="14"/>
      <c r="G23" s="17"/>
      <c r="H23" s="37">
        <f>G22-((D24/D22*G24)+(D25/D22*G25))</f>
        <v>0.18265178132516668</v>
      </c>
    </row>
    <row r="24" spans="1:17" ht="15.75" thickBot="1" x14ac:dyDescent="0.3">
      <c r="A24" s="15"/>
      <c r="B24" s="38"/>
      <c r="C24" s="12" t="s">
        <v>5</v>
      </c>
      <c r="D24" s="15">
        <v>8</v>
      </c>
      <c r="E24" s="15">
        <v>7</v>
      </c>
      <c r="F24" s="15">
        <v>1</v>
      </c>
      <c r="G24" s="17">
        <f t="shared" ref="G24:G37" si="0">((-E24/D24*LOG(E24/D24,2))+((-F24/D24*LOG(F24/D24,2))))</f>
        <v>0.5435644431995964</v>
      </c>
      <c r="H24" s="38"/>
    </row>
    <row r="25" spans="1:17" ht="15.75" thickBot="1" x14ac:dyDescent="0.3">
      <c r="A25" s="15"/>
      <c r="B25" s="38"/>
      <c r="C25" s="12" t="s">
        <v>8</v>
      </c>
      <c r="D25" s="15">
        <v>8</v>
      </c>
      <c r="E25" s="15">
        <v>4</v>
      </c>
      <c r="F25" s="15">
        <v>4</v>
      </c>
      <c r="G25" s="17">
        <f t="shared" si="0"/>
        <v>1</v>
      </c>
      <c r="H25" s="38"/>
    </row>
    <row r="26" spans="1:17" ht="15.75" thickBot="1" x14ac:dyDescent="0.3">
      <c r="A26" s="16"/>
      <c r="B26" s="39"/>
      <c r="D26" s="16"/>
      <c r="E26" s="16"/>
      <c r="F26" s="16"/>
      <c r="G26" s="17"/>
      <c r="H26" s="39"/>
    </row>
    <row r="27" spans="1:17" ht="15.75" thickBot="1" x14ac:dyDescent="0.3">
      <c r="A27" s="14"/>
      <c r="B27" s="37" t="s">
        <v>2</v>
      </c>
      <c r="C27" s="11"/>
      <c r="D27" s="14"/>
      <c r="E27" s="14"/>
      <c r="F27" s="14"/>
      <c r="G27" s="17"/>
      <c r="H27" s="40">
        <f>G22-((D28/D22*G28)+(D29/D22*G29)+(D30/D22*G30))</f>
        <v>0.23245781640663021</v>
      </c>
    </row>
    <row r="28" spans="1:17" ht="15.75" thickBot="1" x14ac:dyDescent="0.3">
      <c r="A28" s="15"/>
      <c r="B28" s="38"/>
      <c r="C28" s="12" t="s">
        <v>14</v>
      </c>
      <c r="D28" s="15">
        <v>3</v>
      </c>
      <c r="E28" s="15">
        <v>3</v>
      </c>
      <c r="F28" s="15">
        <v>0</v>
      </c>
      <c r="G28" s="17">
        <v>0</v>
      </c>
      <c r="H28" s="41"/>
    </row>
    <row r="29" spans="1:17" ht="15.75" thickBot="1" x14ac:dyDescent="0.3">
      <c r="A29" s="15"/>
      <c r="B29" s="38"/>
      <c r="C29" s="12" t="s">
        <v>7</v>
      </c>
      <c r="D29" s="15">
        <v>6</v>
      </c>
      <c r="E29" s="15">
        <v>2</v>
      </c>
      <c r="F29" s="15">
        <v>4</v>
      </c>
      <c r="G29" s="17">
        <f t="shared" si="0"/>
        <v>0.91829583405448956</v>
      </c>
      <c r="H29" s="41"/>
      <c r="Q29" t="s">
        <v>35</v>
      </c>
    </row>
    <row r="30" spans="1:17" ht="15.75" thickBot="1" x14ac:dyDescent="0.3">
      <c r="A30" s="16"/>
      <c r="B30" s="39"/>
      <c r="C30" s="13" t="s">
        <v>9</v>
      </c>
      <c r="D30" s="16">
        <v>7</v>
      </c>
      <c r="E30" s="16">
        <v>5</v>
      </c>
      <c r="F30" s="16">
        <v>2</v>
      </c>
      <c r="G30" s="17">
        <f t="shared" si="0"/>
        <v>0.863120568566631</v>
      </c>
      <c r="H30" s="42"/>
      <c r="Q30" t="s">
        <v>36</v>
      </c>
    </row>
    <row r="31" spans="1:17" ht="15.75" thickBot="1" x14ac:dyDescent="0.3">
      <c r="A31" s="14"/>
      <c r="B31" s="37" t="s">
        <v>24</v>
      </c>
      <c r="C31" s="11"/>
      <c r="D31" s="14"/>
      <c r="E31" s="14"/>
      <c r="F31" s="14"/>
      <c r="G31" s="17"/>
      <c r="H31" s="37">
        <f>G22-((D32/D22*G32)+(D33/D22*G33))</f>
        <v>1.9338470518063811E-2</v>
      </c>
      <c r="Q31" t="s">
        <v>37</v>
      </c>
    </row>
    <row r="32" spans="1:17" ht="15.75" thickBot="1" x14ac:dyDescent="0.3">
      <c r="A32" s="15"/>
      <c r="B32" s="38"/>
      <c r="C32" s="12" t="s">
        <v>6</v>
      </c>
      <c r="D32" s="15">
        <v>7</v>
      </c>
      <c r="E32" s="15">
        <v>5</v>
      </c>
      <c r="F32" s="15">
        <v>2</v>
      </c>
      <c r="G32" s="17">
        <f t="shared" si="0"/>
        <v>0.863120568566631</v>
      </c>
      <c r="H32" s="38"/>
      <c r="Q32" t="s">
        <v>38</v>
      </c>
    </row>
    <row r="33" spans="1:17" ht="15.75" thickBot="1" x14ac:dyDescent="0.3">
      <c r="A33" s="15"/>
      <c r="B33" s="38"/>
      <c r="C33" s="12" t="s">
        <v>11</v>
      </c>
      <c r="D33" s="15">
        <v>9</v>
      </c>
      <c r="E33" s="15">
        <v>5</v>
      </c>
      <c r="F33" s="15">
        <v>4</v>
      </c>
      <c r="G33" s="17">
        <f t="shared" si="0"/>
        <v>0.99107605983822222</v>
      </c>
      <c r="H33" s="38"/>
      <c r="Q33" t="s">
        <v>39</v>
      </c>
    </row>
    <row r="34" spans="1:17" ht="15.75" thickBot="1" x14ac:dyDescent="0.3">
      <c r="A34" s="16"/>
      <c r="B34" s="39"/>
      <c r="C34" s="13"/>
      <c r="D34" s="16"/>
      <c r="E34" s="16"/>
      <c r="F34" s="16"/>
      <c r="G34" s="17"/>
      <c r="H34" s="39"/>
    </row>
    <row r="35" spans="1:17" ht="15.75" thickBot="1" x14ac:dyDescent="0.3">
      <c r="A35" s="14"/>
      <c r="B35" s="37" t="s">
        <v>15</v>
      </c>
      <c r="C35" s="11"/>
      <c r="D35" s="14"/>
      <c r="E35" s="14"/>
      <c r="F35" s="14"/>
      <c r="G35" s="17"/>
      <c r="H35" s="37">
        <f>G22-((D36/D22*G36)+(D37/D22*G37))</f>
        <v>8.7048274494083699E-4</v>
      </c>
      <c r="Q35" s="36" t="s">
        <v>40</v>
      </c>
    </row>
    <row r="36" spans="1:17" ht="15.75" thickBot="1" x14ac:dyDescent="0.3">
      <c r="A36" s="15"/>
      <c r="B36" s="38"/>
      <c r="C36" s="12" t="s">
        <v>12</v>
      </c>
      <c r="D36" s="15">
        <v>11</v>
      </c>
      <c r="E36" s="15">
        <v>7</v>
      </c>
      <c r="F36" s="15">
        <v>4</v>
      </c>
      <c r="G36" s="17">
        <f t="shared" si="0"/>
        <v>0.94566030460064021</v>
      </c>
      <c r="H36" s="38"/>
    </row>
    <row r="37" spans="1:17" ht="15.75" thickBot="1" x14ac:dyDescent="0.3">
      <c r="A37" s="15"/>
      <c r="B37" s="38"/>
      <c r="C37" s="12" t="s">
        <v>10</v>
      </c>
      <c r="D37" s="15">
        <v>5</v>
      </c>
      <c r="E37" s="15">
        <v>3</v>
      </c>
      <c r="F37" s="15">
        <v>2</v>
      </c>
      <c r="G37" s="17">
        <f t="shared" si="0"/>
        <v>0.97095059445466858</v>
      </c>
      <c r="H37" s="38"/>
      <c r="Q37" t="s">
        <v>41</v>
      </c>
    </row>
    <row r="38" spans="1:17" ht="15.75" thickBot="1" x14ac:dyDescent="0.3">
      <c r="A38" s="16"/>
      <c r="B38" s="39"/>
      <c r="C38" s="13"/>
      <c r="D38" s="16"/>
      <c r="E38" s="16"/>
      <c r="F38" s="16"/>
      <c r="G38" s="16"/>
      <c r="H38" s="39"/>
    </row>
    <row r="39" spans="1:17" x14ac:dyDescent="0.25">
      <c r="Q39" t="s">
        <v>42</v>
      </c>
    </row>
    <row r="40" spans="1:17" x14ac:dyDescent="0.25">
      <c r="A40" t="s">
        <v>27</v>
      </c>
      <c r="Q40" t="s">
        <v>43</v>
      </c>
    </row>
    <row r="41" spans="1:17" x14ac:dyDescent="0.25">
      <c r="Q41" t="s">
        <v>44</v>
      </c>
    </row>
    <row r="42" spans="1:17" ht="15.75" thickBot="1" x14ac:dyDescent="0.3"/>
    <row r="43" spans="1:17" ht="15.75" thickBot="1" x14ac:dyDescent="0.3">
      <c r="A43" s="19" t="s">
        <v>2</v>
      </c>
      <c r="B43" s="19" t="s">
        <v>1</v>
      </c>
      <c r="C43" s="19" t="s">
        <v>3</v>
      </c>
      <c r="D43" s="19" t="s">
        <v>15</v>
      </c>
      <c r="E43" s="20" t="s">
        <v>4</v>
      </c>
    </row>
    <row r="44" spans="1:17" x14ac:dyDescent="0.25">
      <c r="A44" s="28" t="s">
        <v>14</v>
      </c>
      <c r="B44" s="21" t="s">
        <v>5</v>
      </c>
      <c r="C44" s="21" t="s">
        <v>6</v>
      </c>
      <c r="D44" s="21" t="s">
        <v>16</v>
      </c>
      <c r="E44" s="30" t="s">
        <v>17</v>
      </c>
    </row>
    <row r="45" spans="1:17" x14ac:dyDescent="0.25">
      <c r="A45" s="29" t="s">
        <v>14</v>
      </c>
      <c r="B45" s="23" t="s">
        <v>8</v>
      </c>
      <c r="C45" s="23" t="s">
        <v>11</v>
      </c>
      <c r="D45" s="23" t="s">
        <v>16</v>
      </c>
      <c r="E45" s="31" t="s">
        <v>17</v>
      </c>
    </row>
    <row r="46" spans="1:17" ht="15.75" thickBot="1" x14ac:dyDescent="0.3">
      <c r="A46" s="43" t="s">
        <v>14</v>
      </c>
      <c r="B46" s="25" t="s">
        <v>8</v>
      </c>
      <c r="C46" s="25" t="s">
        <v>6</v>
      </c>
      <c r="D46" s="25" t="s">
        <v>10</v>
      </c>
      <c r="E46" s="44" t="s">
        <v>17</v>
      </c>
    </row>
    <row r="47" spans="1:17" x14ac:dyDescent="0.25">
      <c r="A47" s="28" t="s">
        <v>7</v>
      </c>
      <c r="B47" s="21" t="s">
        <v>5</v>
      </c>
      <c r="C47" s="21" t="s">
        <v>6</v>
      </c>
      <c r="D47" s="21" t="s">
        <v>16</v>
      </c>
      <c r="E47" s="30" t="s">
        <v>17</v>
      </c>
    </row>
    <row r="48" spans="1:17" x14ac:dyDescent="0.25">
      <c r="A48" s="29" t="s">
        <v>7</v>
      </c>
      <c r="B48" s="23" t="s">
        <v>13</v>
      </c>
      <c r="C48" s="23" t="s">
        <v>6</v>
      </c>
      <c r="D48" s="23" t="s">
        <v>10</v>
      </c>
      <c r="E48" s="31" t="s">
        <v>17</v>
      </c>
    </row>
    <row r="49" spans="1:8" x14ac:dyDescent="0.25">
      <c r="A49" s="23" t="s">
        <v>7</v>
      </c>
      <c r="B49" s="23" t="s">
        <v>5</v>
      </c>
      <c r="C49" s="23" t="s">
        <v>11</v>
      </c>
      <c r="D49" s="23" t="s">
        <v>10</v>
      </c>
      <c r="E49" s="24" t="s">
        <v>18</v>
      </c>
    </row>
    <row r="50" spans="1:8" x14ac:dyDescent="0.25">
      <c r="A50" s="23" t="s">
        <v>7</v>
      </c>
      <c r="B50" s="23" t="s">
        <v>8</v>
      </c>
      <c r="C50" s="23" t="s">
        <v>11</v>
      </c>
      <c r="D50" s="23" t="s">
        <v>16</v>
      </c>
      <c r="E50" s="24" t="s">
        <v>18</v>
      </c>
    </row>
    <row r="51" spans="1:8" x14ac:dyDescent="0.25">
      <c r="A51" s="23" t="s">
        <v>7</v>
      </c>
      <c r="B51" s="23" t="s">
        <v>8</v>
      </c>
      <c r="C51" s="23" t="s">
        <v>11</v>
      </c>
      <c r="D51" s="23" t="s">
        <v>16</v>
      </c>
      <c r="E51" s="24" t="s">
        <v>18</v>
      </c>
    </row>
    <row r="52" spans="1:8" ht="15.75" thickBot="1" x14ac:dyDescent="0.3">
      <c r="A52" s="25" t="s">
        <v>7</v>
      </c>
      <c r="B52" s="25" t="s">
        <v>5</v>
      </c>
      <c r="C52" s="25" t="s">
        <v>11</v>
      </c>
      <c r="D52" s="25" t="s">
        <v>16</v>
      </c>
      <c r="E52" s="26" t="s">
        <v>18</v>
      </c>
    </row>
    <row r="53" spans="1:8" x14ac:dyDescent="0.25">
      <c r="A53" s="21" t="s">
        <v>9</v>
      </c>
      <c r="B53" s="21" t="s">
        <v>8</v>
      </c>
      <c r="C53" s="21" t="s">
        <v>6</v>
      </c>
      <c r="D53" s="21" t="s">
        <v>10</v>
      </c>
      <c r="E53" s="22" t="s">
        <v>18</v>
      </c>
    </row>
    <row r="54" spans="1:8" x14ac:dyDescent="0.25">
      <c r="A54" s="29" t="s">
        <v>9</v>
      </c>
      <c r="B54" s="23" t="s">
        <v>13</v>
      </c>
      <c r="C54" s="23" t="s">
        <v>11</v>
      </c>
      <c r="D54" s="23" t="s">
        <v>16</v>
      </c>
      <c r="E54" s="31" t="s">
        <v>17</v>
      </c>
    </row>
    <row r="55" spans="1:8" x14ac:dyDescent="0.25">
      <c r="A55" s="29" t="s">
        <v>9</v>
      </c>
      <c r="B55" s="23" t="s">
        <v>8</v>
      </c>
      <c r="C55" s="23" t="s">
        <v>11</v>
      </c>
      <c r="D55" s="23" t="s">
        <v>16</v>
      </c>
      <c r="E55" s="31" t="s">
        <v>17</v>
      </c>
    </row>
    <row r="56" spans="1:8" x14ac:dyDescent="0.25">
      <c r="A56" s="29" t="s">
        <v>9</v>
      </c>
      <c r="B56" s="23" t="s">
        <v>5</v>
      </c>
      <c r="C56" s="23" t="s">
        <v>6</v>
      </c>
      <c r="D56" s="23" t="s">
        <v>16</v>
      </c>
      <c r="E56" s="31" t="s">
        <v>17</v>
      </c>
    </row>
    <row r="57" spans="1:8" x14ac:dyDescent="0.25">
      <c r="A57" s="29" t="s">
        <v>9</v>
      </c>
      <c r="B57" s="23" t="s">
        <v>5</v>
      </c>
      <c r="C57" s="23" t="s">
        <v>11</v>
      </c>
      <c r="D57" s="23" t="s">
        <v>10</v>
      </c>
      <c r="E57" s="31" t="s">
        <v>17</v>
      </c>
    </row>
    <row r="58" spans="1:8" x14ac:dyDescent="0.25">
      <c r="A58" s="23" t="s">
        <v>9</v>
      </c>
      <c r="B58" s="23" t="s">
        <v>8</v>
      </c>
      <c r="C58" s="23" t="s">
        <v>6</v>
      </c>
      <c r="D58" s="23" t="s">
        <v>16</v>
      </c>
      <c r="E58" s="24" t="s">
        <v>18</v>
      </c>
    </row>
    <row r="59" spans="1:8" ht="15.75" thickBot="1" x14ac:dyDescent="0.3">
      <c r="A59" s="43" t="s">
        <v>9</v>
      </c>
      <c r="B59" s="25" t="s">
        <v>8</v>
      </c>
      <c r="C59" s="25" t="s">
        <v>11</v>
      </c>
      <c r="D59" s="25" t="s">
        <v>16</v>
      </c>
      <c r="E59" s="44" t="s">
        <v>17</v>
      </c>
    </row>
    <row r="61" spans="1:8" x14ac:dyDescent="0.25">
      <c r="A61" t="s">
        <v>28</v>
      </c>
      <c r="C61" s="23"/>
    </row>
    <row r="63" spans="1:8" ht="15.75" thickBot="1" x14ac:dyDescent="0.3">
      <c r="A63" t="s">
        <v>29</v>
      </c>
    </row>
    <row r="64" spans="1:8" ht="15.75" thickBot="1" x14ac:dyDescent="0.3">
      <c r="A64" s="17" t="s">
        <v>19</v>
      </c>
      <c r="B64" s="17"/>
      <c r="C64" s="17"/>
      <c r="D64" s="17" t="s">
        <v>21</v>
      </c>
      <c r="E64" s="17" t="s">
        <v>25</v>
      </c>
      <c r="F64" s="17" t="s">
        <v>18</v>
      </c>
      <c r="G64" s="17" t="s">
        <v>22</v>
      </c>
      <c r="H64" s="17" t="s">
        <v>23</v>
      </c>
    </row>
    <row r="65" spans="1:8" ht="15.75" thickBot="1" x14ac:dyDescent="0.3">
      <c r="A65" s="17">
        <v>2</v>
      </c>
      <c r="B65" s="17" t="s">
        <v>20</v>
      </c>
      <c r="C65" s="17"/>
      <c r="D65" s="17">
        <v>6</v>
      </c>
      <c r="E65" s="17">
        <v>2</v>
      </c>
      <c r="F65" s="17">
        <v>4</v>
      </c>
      <c r="G65" s="17">
        <f>((-E65/D65*LOG(E65/D65,2))+((-F65/D65*LOG(F65/D65,2))))</f>
        <v>0.91829583405448956</v>
      </c>
      <c r="H65" s="17"/>
    </row>
    <row r="66" spans="1:8" ht="15.75" thickBot="1" x14ac:dyDescent="0.3">
      <c r="A66" s="14"/>
      <c r="B66" s="37" t="s">
        <v>1</v>
      </c>
      <c r="D66" s="14"/>
      <c r="E66" s="14"/>
      <c r="F66" s="14"/>
      <c r="G66" s="17"/>
      <c r="H66" s="37">
        <f>G65-((D67/D65*G67)+(D68/D65*G68))</f>
        <v>0.25162916738782293</v>
      </c>
    </row>
    <row r="67" spans="1:8" ht="15.75" thickBot="1" x14ac:dyDescent="0.3">
      <c r="A67" s="15"/>
      <c r="B67" s="38"/>
      <c r="C67" s="12" t="s">
        <v>5</v>
      </c>
      <c r="D67" s="15">
        <v>4</v>
      </c>
      <c r="E67" s="15">
        <v>2</v>
      </c>
      <c r="F67" s="15">
        <v>2</v>
      </c>
      <c r="G67" s="17">
        <f t="shared" ref="G67" si="1">((-E67/D67*LOG(E67/D67,2))+((-F67/D67*LOG(F67/D67,2))))</f>
        <v>1</v>
      </c>
      <c r="H67" s="38"/>
    </row>
    <row r="68" spans="1:8" ht="15.75" thickBot="1" x14ac:dyDescent="0.3">
      <c r="A68" s="15"/>
      <c r="B68" s="38"/>
      <c r="C68" s="12" t="s">
        <v>8</v>
      </c>
      <c r="D68" s="15">
        <v>2</v>
      </c>
      <c r="E68" s="15">
        <v>0</v>
      </c>
      <c r="F68" s="15">
        <v>2</v>
      </c>
      <c r="G68" s="17">
        <v>0</v>
      </c>
      <c r="H68" s="38"/>
    </row>
    <row r="69" spans="1:8" ht="15.75" thickBot="1" x14ac:dyDescent="0.3">
      <c r="A69" s="16"/>
      <c r="B69" s="39"/>
      <c r="D69" s="16"/>
      <c r="E69" s="16"/>
      <c r="F69" s="16"/>
      <c r="G69" s="17"/>
      <c r="H69" s="39"/>
    </row>
    <row r="70" spans="1:8" ht="15.75" thickBot="1" x14ac:dyDescent="0.3">
      <c r="A70" s="14"/>
      <c r="B70" s="37" t="s">
        <v>24</v>
      </c>
      <c r="C70" s="11"/>
      <c r="D70" s="14"/>
      <c r="E70" s="14"/>
      <c r="F70" s="14"/>
      <c r="G70" s="17"/>
      <c r="H70" s="40">
        <f>G65-((D71/D65*G71)+(D72/D65*G72))</f>
        <v>0.91829583405448956</v>
      </c>
    </row>
    <row r="71" spans="1:8" ht="15.75" thickBot="1" x14ac:dyDescent="0.3">
      <c r="A71" s="15"/>
      <c r="B71" s="38"/>
      <c r="C71" s="12" t="s">
        <v>6</v>
      </c>
      <c r="D71" s="15">
        <v>2</v>
      </c>
      <c r="E71" s="15">
        <v>2</v>
      </c>
      <c r="F71" s="15">
        <v>0</v>
      </c>
      <c r="G71" s="17">
        <v>0</v>
      </c>
      <c r="H71" s="41"/>
    </row>
    <row r="72" spans="1:8" ht="15.75" thickBot="1" x14ac:dyDescent="0.3">
      <c r="A72" s="15"/>
      <c r="B72" s="38"/>
      <c r="C72" s="12" t="s">
        <v>11</v>
      </c>
      <c r="D72" s="15">
        <v>4</v>
      </c>
      <c r="E72" s="15">
        <v>0</v>
      </c>
      <c r="F72" s="15">
        <v>4</v>
      </c>
      <c r="G72" s="17">
        <v>0</v>
      </c>
      <c r="H72" s="41"/>
    </row>
    <row r="73" spans="1:8" ht="15.75" thickBot="1" x14ac:dyDescent="0.3">
      <c r="A73" s="16"/>
      <c r="B73" s="39"/>
      <c r="C73" s="13"/>
      <c r="D73" s="16"/>
      <c r="E73" s="16"/>
      <c r="F73" s="16"/>
      <c r="G73" s="17"/>
      <c r="H73" s="42"/>
    </row>
    <row r="74" spans="1:8" ht="15.75" thickBot="1" x14ac:dyDescent="0.3">
      <c r="A74" s="14"/>
      <c r="B74" s="37" t="s">
        <v>15</v>
      </c>
      <c r="C74" s="11"/>
      <c r="D74" s="14"/>
      <c r="E74" s="14"/>
      <c r="F74" s="14"/>
      <c r="G74" s="17"/>
      <c r="H74" s="37">
        <f>G65-((D75/D65*G75)+(D76/D65*G76))</f>
        <v>4.4110417748401076E-2</v>
      </c>
    </row>
    <row r="75" spans="1:8" ht="15.75" thickBot="1" x14ac:dyDescent="0.3">
      <c r="A75" s="15"/>
      <c r="B75" s="38"/>
      <c r="C75" s="12" t="s">
        <v>12</v>
      </c>
      <c r="D75" s="15">
        <v>4</v>
      </c>
      <c r="E75" s="15">
        <v>1</v>
      </c>
      <c r="F75" s="15">
        <v>3</v>
      </c>
      <c r="G75" s="17">
        <f t="shared" ref="G75:G76" si="2">((-E75/D75*LOG(E75/D75,2))+((-F75/D75*LOG(F75/D75,2))))</f>
        <v>0.81127812445913283</v>
      </c>
      <c r="H75" s="38"/>
    </row>
    <row r="76" spans="1:8" ht="15.75" thickBot="1" x14ac:dyDescent="0.3">
      <c r="A76" s="15"/>
      <c r="B76" s="38"/>
      <c r="C76" s="12" t="s">
        <v>10</v>
      </c>
      <c r="D76" s="15">
        <v>2</v>
      </c>
      <c r="E76" s="15">
        <v>1</v>
      </c>
      <c r="F76" s="15">
        <v>1</v>
      </c>
      <c r="G76" s="17">
        <f t="shared" si="2"/>
        <v>1</v>
      </c>
      <c r="H76" s="38"/>
    </row>
    <row r="77" spans="1:8" ht="15.75" thickBot="1" x14ac:dyDescent="0.3">
      <c r="A77" s="16"/>
      <c r="B77" s="39"/>
      <c r="C77" s="13"/>
      <c r="D77" s="16"/>
      <c r="E77" s="16"/>
      <c r="F77" s="16"/>
      <c r="G77" s="16"/>
      <c r="H77" s="39"/>
    </row>
    <row r="79" spans="1:8" x14ac:dyDescent="0.25">
      <c r="A79" t="s">
        <v>31</v>
      </c>
    </row>
    <row r="81" spans="1:5" ht="15.75" thickBot="1" x14ac:dyDescent="0.3"/>
    <row r="82" spans="1:5" ht="15.75" thickBot="1" x14ac:dyDescent="0.3">
      <c r="A82" s="19" t="s">
        <v>2</v>
      </c>
      <c r="B82" s="19" t="s">
        <v>1</v>
      </c>
      <c r="C82" s="19" t="s">
        <v>3</v>
      </c>
      <c r="D82" s="19" t="s">
        <v>15</v>
      </c>
      <c r="E82" s="20" t="s">
        <v>4</v>
      </c>
    </row>
    <row r="83" spans="1:5" x14ac:dyDescent="0.25">
      <c r="A83" s="21" t="s">
        <v>14</v>
      </c>
      <c r="B83" s="21" t="s">
        <v>5</v>
      </c>
      <c r="C83" s="21" t="s">
        <v>6</v>
      </c>
      <c r="D83" s="21" t="s">
        <v>16</v>
      </c>
      <c r="E83" s="22" t="s">
        <v>17</v>
      </c>
    </row>
    <row r="84" spans="1:5" x14ac:dyDescent="0.25">
      <c r="A84" s="23" t="s">
        <v>14</v>
      </c>
      <c r="B84" s="23" t="s">
        <v>8</v>
      </c>
      <c r="C84" s="23" t="s">
        <v>11</v>
      </c>
      <c r="D84" s="23" t="s">
        <v>16</v>
      </c>
      <c r="E84" s="24" t="s">
        <v>17</v>
      </c>
    </row>
    <row r="85" spans="1:5" ht="15.75" thickBot="1" x14ac:dyDescent="0.3">
      <c r="A85" s="25" t="s">
        <v>14</v>
      </c>
      <c r="B85" s="25" t="s">
        <v>8</v>
      </c>
      <c r="C85" s="25" t="s">
        <v>6</v>
      </c>
      <c r="D85" s="25" t="s">
        <v>10</v>
      </c>
      <c r="E85" s="26" t="s">
        <v>17</v>
      </c>
    </row>
    <row r="86" spans="1:5" x14ac:dyDescent="0.25">
      <c r="A86" s="21" t="s">
        <v>7</v>
      </c>
      <c r="B86" s="21" t="s">
        <v>5</v>
      </c>
      <c r="C86" s="28" t="s">
        <v>6</v>
      </c>
      <c r="D86" s="21" t="s">
        <v>16</v>
      </c>
      <c r="E86" s="30" t="s">
        <v>17</v>
      </c>
    </row>
    <row r="87" spans="1:5" x14ac:dyDescent="0.25">
      <c r="A87" s="23" t="s">
        <v>7</v>
      </c>
      <c r="B87" s="23" t="s">
        <v>13</v>
      </c>
      <c r="C87" s="29" t="s">
        <v>6</v>
      </c>
      <c r="D87" s="23" t="s">
        <v>10</v>
      </c>
      <c r="E87" s="31" t="s">
        <v>17</v>
      </c>
    </row>
    <row r="88" spans="1:5" x14ac:dyDescent="0.25">
      <c r="A88" s="23" t="s">
        <v>7</v>
      </c>
      <c r="B88" s="23" t="s">
        <v>5</v>
      </c>
      <c r="C88" s="23" t="s">
        <v>11</v>
      </c>
      <c r="D88" s="23" t="s">
        <v>10</v>
      </c>
      <c r="E88" s="24" t="s">
        <v>18</v>
      </c>
    </row>
    <row r="89" spans="1:5" x14ac:dyDescent="0.25">
      <c r="A89" s="23" t="s">
        <v>7</v>
      </c>
      <c r="B89" s="23" t="s">
        <v>8</v>
      </c>
      <c r="C89" s="23" t="s">
        <v>11</v>
      </c>
      <c r="D89" s="23" t="s">
        <v>16</v>
      </c>
      <c r="E89" s="24" t="s">
        <v>18</v>
      </c>
    </row>
    <row r="90" spans="1:5" x14ac:dyDescent="0.25">
      <c r="A90" s="23" t="s">
        <v>7</v>
      </c>
      <c r="B90" s="23" t="s">
        <v>8</v>
      </c>
      <c r="C90" s="23" t="s">
        <v>11</v>
      </c>
      <c r="D90" s="23" t="s">
        <v>16</v>
      </c>
      <c r="E90" s="24" t="s">
        <v>18</v>
      </c>
    </row>
    <row r="91" spans="1:5" ht="15.75" thickBot="1" x14ac:dyDescent="0.3">
      <c r="A91" s="25" t="s">
        <v>7</v>
      </c>
      <c r="B91" s="25" t="s">
        <v>5</v>
      </c>
      <c r="C91" s="25" t="s">
        <v>11</v>
      </c>
      <c r="D91" s="25" t="s">
        <v>16</v>
      </c>
      <c r="E91" s="26" t="s">
        <v>18</v>
      </c>
    </row>
    <row r="92" spans="1:5" x14ac:dyDescent="0.25">
      <c r="A92" s="21" t="s">
        <v>9</v>
      </c>
      <c r="B92" s="21" t="s">
        <v>8</v>
      </c>
      <c r="C92" s="21" t="s">
        <v>6</v>
      </c>
      <c r="D92" s="21" t="s">
        <v>10</v>
      </c>
      <c r="E92" s="22" t="s">
        <v>18</v>
      </c>
    </row>
    <row r="93" spans="1:5" x14ac:dyDescent="0.25">
      <c r="A93" s="23" t="s">
        <v>9</v>
      </c>
      <c r="B93" s="23" t="s">
        <v>13</v>
      </c>
      <c r="C93" s="23" t="s">
        <v>11</v>
      </c>
      <c r="D93" s="23" t="s">
        <v>16</v>
      </c>
      <c r="E93" s="24" t="s">
        <v>17</v>
      </c>
    </row>
    <row r="94" spans="1:5" x14ac:dyDescent="0.25">
      <c r="A94" s="23" t="s">
        <v>9</v>
      </c>
      <c r="B94" s="23" t="s">
        <v>8</v>
      </c>
      <c r="C94" s="23" t="s">
        <v>11</v>
      </c>
      <c r="D94" s="23" t="s">
        <v>16</v>
      </c>
      <c r="E94" s="24" t="s">
        <v>17</v>
      </c>
    </row>
    <row r="95" spans="1:5" x14ac:dyDescent="0.25">
      <c r="A95" s="23" t="s">
        <v>9</v>
      </c>
      <c r="B95" s="23" t="s">
        <v>5</v>
      </c>
      <c r="C95" s="23" t="s">
        <v>6</v>
      </c>
      <c r="D95" s="23" t="s">
        <v>16</v>
      </c>
      <c r="E95" s="24" t="s">
        <v>17</v>
      </c>
    </row>
    <row r="96" spans="1:5" x14ac:dyDescent="0.25">
      <c r="A96" s="23" t="s">
        <v>9</v>
      </c>
      <c r="B96" s="23" t="s">
        <v>5</v>
      </c>
      <c r="C96" s="23" t="s">
        <v>11</v>
      </c>
      <c r="D96" s="23" t="s">
        <v>10</v>
      </c>
      <c r="E96" s="24" t="s">
        <v>17</v>
      </c>
    </row>
    <row r="97" spans="1:8" x14ac:dyDescent="0.25">
      <c r="A97" s="23" t="s">
        <v>9</v>
      </c>
      <c r="B97" s="23" t="s">
        <v>8</v>
      </c>
      <c r="C97" s="23" t="s">
        <v>6</v>
      </c>
      <c r="D97" s="23" t="s">
        <v>16</v>
      </c>
      <c r="E97" s="24" t="s">
        <v>18</v>
      </c>
    </row>
    <row r="98" spans="1:8" ht="15.75" thickBot="1" x14ac:dyDescent="0.3">
      <c r="A98" s="25" t="s">
        <v>9</v>
      </c>
      <c r="B98" s="25" t="s">
        <v>8</v>
      </c>
      <c r="C98" s="25" t="s">
        <v>11</v>
      </c>
      <c r="D98" s="25" t="s">
        <v>16</v>
      </c>
      <c r="E98" s="26" t="s">
        <v>17</v>
      </c>
    </row>
    <row r="100" spans="1:8" x14ac:dyDescent="0.25">
      <c r="A100" t="s">
        <v>30</v>
      </c>
    </row>
    <row r="103" spans="1:8" ht="15.75" thickBot="1" x14ac:dyDescent="0.3">
      <c r="A103" t="s">
        <v>32</v>
      </c>
    </row>
    <row r="104" spans="1:8" ht="15.75" thickBot="1" x14ac:dyDescent="0.3">
      <c r="A104" s="17" t="s">
        <v>19</v>
      </c>
      <c r="B104" s="17"/>
      <c r="C104" s="17"/>
      <c r="D104" s="17" t="s">
        <v>21</v>
      </c>
      <c r="E104" s="17" t="s">
        <v>25</v>
      </c>
      <c r="F104" s="17" t="s">
        <v>18</v>
      </c>
      <c r="G104" s="17" t="s">
        <v>22</v>
      </c>
      <c r="H104" s="17" t="s">
        <v>23</v>
      </c>
    </row>
    <row r="105" spans="1:8" ht="15.75" thickBot="1" x14ac:dyDescent="0.3">
      <c r="A105" s="17">
        <v>3</v>
      </c>
      <c r="B105" s="17" t="s">
        <v>20</v>
      </c>
      <c r="C105" s="17"/>
      <c r="D105" s="17">
        <v>7</v>
      </c>
      <c r="E105" s="17">
        <v>5</v>
      </c>
      <c r="F105" s="17">
        <v>2</v>
      </c>
      <c r="G105" s="17">
        <f>((-E105/D105*LOG(E105/D105,2))+((-F105/D105*LOG(F105/D105,2))))</f>
        <v>0.863120568566631</v>
      </c>
      <c r="H105" s="17"/>
    </row>
    <row r="106" spans="1:8" ht="15.75" thickBot="1" x14ac:dyDescent="0.3">
      <c r="A106" s="14"/>
      <c r="B106" s="37" t="s">
        <v>1</v>
      </c>
      <c r="D106" s="14"/>
      <c r="E106" s="14"/>
      <c r="F106" s="14"/>
      <c r="G106" s="17"/>
      <c r="H106" s="40">
        <f>G105-((D107/D105*G107)+(D108/D105*G108))</f>
        <v>0.2916919971380596</v>
      </c>
    </row>
    <row r="107" spans="1:8" ht="15.75" thickBot="1" x14ac:dyDescent="0.3">
      <c r="A107" s="15"/>
      <c r="B107" s="38"/>
      <c r="C107" s="12" t="s">
        <v>5</v>
      </c>
      <c r="D107" s="15">
        <v>3</v>
      </c>
      <c r="E107" s="15">
        <v>3</v>
      </c>
      <c r="F107" s="15">
        <v>0</v>
      </c>
      <c r="G107" s="17">
        <v>0</v>
      </c>
      <c r="H107" s="41"/>
    </row>
    <row r="108" spans="1:8" ht="15.75" thickBot="1" x14ac:dyDescent="0.3">
      <c r="A108" s="15"/>
      <c r="B108" s="38"/>
      <c r="C108" s="12" t="s">
        <v>8</v>
      </c>
      <c r="D108" s="15">
        <v>4</v>
      </c>
      <c r="E108" s="15">
        <v>2</v>
      </c>
      <c r="F108" s="15">
        <v>2</v>
      </c>
      <c r="G108" s="17">
        <f t="shared" ref="G108" si="3">((-E108/D108*LOG(E108/D108,2))+((-F108/D108*LOG(F108/D108,2))))</f>
        <v>1</v>
      </c>
      <c r="H108" s="41"/>
    </row>
    <row r="109" spans="1:8" ht="15.75" thickBot="1" x14ac:dyDescent="0.3">
      <c r="A109" s="16"/>
      <c r="B109" s="39"/>
      <c r="D109" s="16"/>
      <c r="E109" s="16"/>
      <c r="F109" s="16"/>
      <c r="G109" s="17"/>
      <c r="H109" s="42"/>
    </row>
    <row r="110" spans="1:8" ht="15.75" thickBot="1" x14ac:dyDescent="0.3">
      <c r="A110" s="14"/>
      <c r="B110" s="37" t="s">
        <v>15</v>
      </c>
      <c r="C110" s="11"/>
      <c r="D110" s="14"/>
      <c r="E110" s="14"/>
      <c r="F110" s="14"/>
      <c r="G110" s="17"/>
      <c r="H110" s="37">
        <f>G105-((D111/D105*G111)+(D112/D105*G112))</f>
        <v>6.1743357932800724E-2</v>
      </c>
    </row>
    <row r="111" spans="1:8" ht="15.75" thickBot="1" x14ac:dyDescent="0.3">
      <c r="A111" s="15"/>
      <c r="B111" s="38"/>
      <c r="C111" s="12" t="s">
        <v>12</v>
      </c>
      <c r="D111" s="15">
        <v>5</v>
      </c>
      <c r="E111" s="15">
        <v>4</v>
      </c>
      <c r="F111" s="15">
        <v>1</v>
      </c>
      <c r="G111" s="17">
        <f t="shared" ref="G111:G112" si="4">((-E111/D111*LOG(E111/D111,2))+((-F111/D111*LOG(F111/D111,2))))</f>
        <v>0.72192809488736231</v>
      </c>
      <c r="H111" s="38"/>
    </row>
    <row r="112" spans="1:8" ht="15.75" thickBot="1" x14ac:dyDescent="0.3">
      <c r="A112" s="15"/>
      <c r="B112" s="38"/>
      <c r="C112" s="12" t="s">
        <v>10</v>
      </c>
      <c r="D112" s="15">
        <v>2</v>
      </c>
      <c r="E112" s="15">
        <v>1</v>
      </c>
      <c r="F112" s="15">
        <v>1</v>
      </c>
      <c r="G112" s="17">
        <f t="shared" si="4"/>
        <v>1</v>
      </c>
      <c r="H112" s="38"/>
    </row>
    <row r="113" spans="1:8" ht="15.75" thickBot="1" x14ac:dyDescent="0.3">
      <c r="A113" s="16"/>
      <c r="B113" s="39"/>
      <c r="C113" s="13"/>
      <c r="D113" s="16"/>
      <c r="E113" s="16"/>
      <c r="F113" s="16"/>
      <c r="G113" s="16"/>
      <c r="H113" s="39"/>
    </row>
    <row r="115" spans="1:8" x14ac:dyDescent="0.25">
      <c r="A115" t="s">
        <v>33</v>
      </c>
    </row>
    <row r="117" spans="1:8" ht="15.75" thickBot="1" x14ac:dyDescent="0.3"/>
    <row r="118" spans="1:8" ht="15.75" thickBot="1" x14ac:dyDescent="0.3">
      <c r="A118" s="19" t="s">
        <v>2</v>
      </c>
      <c r="B118" s="19" t="s">
        <v>1</v>
      </c>
      <c r="C118" s="19" t="s">
        <v>3</v>
      </c>
      <c r="D118" s="19" t="s">
        <v>15</v>
      </c>
      <c r="E118" s="20" t="s">
        <v>4</v>
      </c>
    </row>
    <row r="119" spans="1:8" x14ac:dyDescent="0.25">
      <c r="A119" s="21" t="s">
        <v>14</v>
      </c>
      <c r="B119" s="21" t="s">
        <v>8</v>
      </c>
      <c r="C119" s="21" t="s">
        <v>11</v>
      </c>
      <c r="D119" s="21" t="s">
        <v>16</v>
      </c>
      <c r="E119" s="22" t="s">
        <v>17</v>
      </c>
    </row>
    <row r="120" spans="1:8" x14ac:dyDescent="0.25">
      <c r="A120" s="23" t="s">
        <v>14</v>
      </c>
      <c r="B120" s="23" t="s">
        <v>8</v>
      </c>
      <c r="C120" s="23" t="s">
        <v>6</v>
      </c>
      <c r="D120" s="23" t="s">
        <v>10</v>
      </c>
      <c r="E120" s="24" t="s">
        <v>17</v>
      </c>
    </row>
    <row r="121" spans="1:8" ht="15.75" thickBot="1" x14ac:dyDescent="0.3">
      <c r="A121" s="25" t="s">
        <v>14</v>
      </c>
      <c r="B121" s="25" t="s">
        <v>5</v>
      </c>
      <c r="C121" s="25" t="s">
        <v>6</v>
      </c>
      <c r="D121" s="25" t="s">
        <v>16</v>
      </c>
      <c r="E121" s="26" t="s">
        <v>17</v>
      </c>
    </row>
    <row r="122" spans="1:8" x14ac:dyDescent="0.25">
      <c r="A122" s="21" t="s">
        <v>7</v>
      </c>
      <c r="B122" s="21" t="s">
        <v>8</v>
      </c>
      <c r="C122" s="21" t="s">
        <v>11</v>
      </c>
      <c r="D122" s="21" t="s">
        <v>16</v>
      </c>
      <c r="E122" s="22" t="s">
        <v>18</v>
      </c>
    </row>
    <row r="123" spans="1:8" x14ac:dyDescent="0.25">
      <c r="A123" s="23" t="s">
        <v>7</v>
      </c>
      <c r="B123" s="23" t="s">
        <v>8</v>
      </c>
      <c r="C123" s="23" t="s">
        <v>11</v>
      </c>
      <c r="D123" s="23" t="s">
        <v>16</v>
      </c>
      <c r="E123" s="24" t="s">
        <v>18</v>
      </c>
    </row>
    <row r="124" spans="1:8" x14ac:dyDescent="0.25">
      <c r="A124" s="23" t="s">
        <v>7</v>
      </c>
      <c r="B124" s="23" t="s">
        <v>5</v>
      </c>
      <c r="C124" s="23" t="s">
        <v>6</v>
      </c>
      <c r="D124" s="23" t="s">
        <v>16</v>
      </c>
      <c r="E124" s="24" t="s">
        <v>17</v>
      </c>
    </row>
    <row r="125" spans="1:8" x14ac:dyDescent="0.25">
      <c r="A125" s="23" t="s">
        <v>7</v>
      </c>
      <c r="B125" s="23" t="s">
        <v>5</v>
      </c>
      <c r="C125" s="23" t="s">
        <v>11</v>
      </c>
      <c r="D125" s="23" t="s">
        <v>10</v>
      </c>
      <c r="E125" s="24" t="s">
        <v>18</v>
      </c>
    </row>
    <row r="126" spans="1:8" x14ac:dyDescent="0.25">
      <c r="A126" s="23" t="s">
        <v>7</v>
      </c>
      <c r="B126" s="23" t="s">
        <v>5</v>
      </c>
      <c r="C126" s="23" t="s">
        <v>11</v>
      </c>
      <c r="D126" s="23" t="s">
        <v>16</v>
      </c>
      <c r="E126" s="24" t="s">
        <v>18</v>
      </c>
    </row>
    <row r="127" spans="1:8" ht="15.75" thickBot="1" x14ac:dyDescent="0.3">
      <c r="A127" s="25" t="s">
        <v>7</v>
      </c>
      <c r="B127" s="25" t="s">
        <v>13</v>
      </c>
      <c r="C127" s="25" t="s">
        <v>6</v>
      </c>
      <c r="D127" s="25" t="s">
        <v>10</v>
      </c>
      <c r="E127" s="26" t="s">
        <v>17</v>
      </c>
    </row>
    <row r="128" spans="1:8" x14ac:dyDescent="0.25">
      <c r="A128" s="21" t="s">
        <v>9</v>
      </c>
      <c r="B128" s="21" t="s">
        <v>8</v>
      </c>
      <c r="C128" s="21" t="s">
        <v>6</v>
      </c>
      <c r="D128" s="21" t="s">
        <v>10</v>
      </c>
      <c r="E128" s="22" t="s">
        <v>18</v>
      </c>
    </row>
    <row r="129" spans="1:5" x14ac:dyDescent="0.25">
      <c r="A129" s="23" t="s">
        <v>9</v>
      </c>
      <c r="B129" s="23" t="s">
        <v>8</v>
      </c>
      <c r="C129" s="23" t="s">
        <v>11</v>
      </c>
      <c r="D129" s="23" t="s">
        <v>16</v>
      </c>
      <c r="E129" s="24" t="s">
        <v>17</v>
      </c>
    </row>
    <row r="130" spans="1:5" x14ac:dyDescent="0.25">
      <c r="A130" s="23" t="s">
        <v>9</v>
      </c>
      <c r="B130" s="23" t="s">
        <v>8</v>
      </c>
      <c r="C130" s="23" t="s">
        <v>6</v>
      </c>
      <c r="D130" s="23" t="s">
        <v>16</v>
      </c>
      <c r="E130" s="24" t="s">
        <v>18</v>
      </c>
    </row>
    <row r="131" spans="1:5" x14ac:dyDescent="0.25">
      <c r="A131" s="23" t="s">
        <v>9</v>
      </c>
      <c r="B131" s="23" t="s">
        <v>8</v>
      </c>
      <c r="C131" s="23" t="s">
        <v>11</v>
      </c>
      <c r="D131" s="23" t="s">
        <v>16</v>
      </c>
      <c r="E131" s="24" t="s">
        <v>17</v>
      </c>
    </row>
    <row r="132" spans="1:5" x14ac:dyDescent="0.25">
      <c r="A132" s="23" t="s">
        <v>9</v>
      </c>
      <c r="B132" s="32" t="s">
        <v>5</v>
      </c>
      <c r="C132" s="23" t="s">
        <v>6</v>
      </c>
      <c r="D132" s="23" t="s">
        <v>16</v>
      </c>
      <c r="E132" s="34" t="s">
        <v>17</v>
      </c>
    </row>
    <row r="133" spans="1:5" x14ac:dyDescent="0.25">
      <c r="A133" s="23" t="s">
        <v>9</v>
      </c>
      <c r="B133" s="32" t="s">
        <v>5</v>
      </c>
      <c r="C133" s="23" t="s">
        <v>11</v>
      </c>
      <c r="D133" s="23" t="s">
        <v>10</v>
      </c>
      <c r="E133" s="34" t="s">
        <v>17</v>
      </c>
    </row>
    <row r="134" spans="1:5" ht="15.75" thickBot="1" x14ac:dyDescent="0.3">
      <c r="A134" s="25" t="s">
        <v>9</v>
      </c>
      <c r="B134" s="33" t="s">
        <v>13</v>
      </c>
      <c r="C134" s="25" t="s">
        <v>11</v>
      </c>
      <c r="D134" s="25" t="s">
        <v>16</v>
      </c>
      <c r="E134" s="35" t="s">
        <v>17</v>
      </c>
    </row>
    <row r="136" spans="1:5" x14ac:dyDescent="0.25">
      <c r="A136" t="s">
        <v>34</v>
      </c>
    </row>
  </sheetData>
  <autoFilter ref="A118:E134" xr:uid="{EE34806F-53E8-4B82-8C6F-D826623D61E3}">
    <sortState xmlns:xlrd2="http://schemas.microsoft.com/office/spreadsheetml/2017/richdata2" ref="A119:E134">
      <sortCondition ref="A118:A134"/>
    </sortState>
  </autoFilter>
  <mergeCells count="18">
    <mergeCell ref="B106:B109"/>
    <mergeCell ref="H106:H109"/>
    <mergeCell ref="B110:B113"/>
    <mergeCell ref="H110:H113"/>
    <mergeCell ref="B70:B73"/>
    <mergeCell ref="H70:H73"/>
    <mergeCell ref="B74:B77"/>
    <mergeCell ref="H74:H77"/>
    <mergeCell ref="H23:H26"/>
    <mergeCell ref="H27:H30"/>
    <mergeCell ref="H31:H34"/>
    <mergeCell ref="H35:H38"/>
    <mergeCell ref="B66:B69"/>
    <mergeCell ref="H66:H69"/>
    <mergeCell ref="B23:B26"/>
    <mergeCell ref="B27:B30"/>
    <mergeCell ref="B31:B34"/>
    <mergeCell ref="B35:B38"/>
  </mergeCells>
  <pageMargins left="0.7" right="0.7" top="0.75" bottom="0.75" header="0.3" footer="0.3"/>
  <pageSetup paperSize="281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2025-06-21T07:10:02Z</dcterms:created>
  <dcterms:modified xsi:type="dcterms:W3CDTF">2025-06-21T14:31:39Z</dcterms:modified>
</cp:coreProperties>
</file>