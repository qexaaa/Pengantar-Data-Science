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engantar Data Science\"/>
    </mc:Choice>
  </mc:AlternateContent>
  <xr:revisionPtr revIDLastSave="0" documentId="13_ncr:1_{F5E951CA-0DDC-468D-BDF0-16294B236089}" xr6:coauthVersionLast="47" xr6:coauthVersionMax="47" xr10:uidLastSave="{00000000-0000-0000-0000-000000000000}"/>
  <bookViews>
    <workbookView xWindow="-120" yWindow="-120" windowWidth="19440" windowHeight="11040" xr2:uid="{30C7918A-A718-4094-AE7C-B45B0DF62145}"/>
  </bookViews>
  <sheets>
    <sheet name="Sheet2" sheetId="2" r:id="rId1"/>
  </sheets>
  <definedNames>
    <definedName name="Customer_Behaviour" localSheetId="0">Sheet2!$A$1:$E$401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5" i="2" l="1"/>
  <c r="AD14" i="2"/>
  <c r="O14" i="2"/>
  <c r="O17" i="2" s="1"/>
  <c r="O20" i="2" s="1"/>
  <c r="AD12" i="2"/>
  <c r="AD11" i="2"/>
  <c r="AD9" i="2"/>
  <c r="AD8" i="2"/>
  <c r="O21" i="2"/>
  <c r="O18" i="2"/>
  <c r="O15" i="2"/>
  <c r="O12" i="2"/>
  <c r="O11" i="2"/>
  <c r="O9" i="2"/>
  <c r="O8" i="2"/>
  <c r="M43" i="2"/>
  <c r="M42" i="2"/>
  <c r="M41" i="2"/>
  <c r="M40" i="2"/>
  <c r="M39" i="2"/>
  <c r="M38" i="2"/>
  <c r="H253" i="2"/>
  <c r="H252" i="2"/>
  <c r="H249" i="2"/>
  <c r="H248" i="2"/>
  <c r="H245" i="2"/>
  <c r="H244" i="2"/>
  <c r="H241" i="2"/>
  <c r="H240" i="2"/>
  <c r="H237" i="2"/>
  <c r="H236" i="2"/>
  <c r="H233" i="2"/>
  <c r="H232" i="2"/>
  <c r="H227" i="2"/>
  <c r="H226" i="2"/>
  <c r="H223" i="2"/>
  <c r="H222" i="2"/>
  <c r="H219" i="2"/>
  <c r="H218" i="2"/>
  <c r="H215" i="2"/>
  <c r="H214" i="2"/>
  <c r="H211" i="2"/>
  <c r="H210" i="2"/>
  <c r="H207" i="2"/>
  <c r="H206" i="2"/>
  <c r="H201" i="2"/>
  <c r="H200" i="2"/>
  <c r="H197" i="2"/>
  <c r="H196" i="2"/>
  <c r="H193" i="2"/>
  <c r="H192" i="2"/>
  <c r="H189" i="2"/>
  <c r="H188" i="2"/>
  <c r="H185" i="2"/>
  <c r="H184" i="2"/>
  <c r="H181" i="2"/>
  <c r="H180" i="2"/>
  <c r="H175" i="2"/>
  <c r="H174" i="2"/>
  <c r="H171" i="2"/>
  <c r="H170" i="2"/>
  <c r="H167" i="2"/>
  <c r="H166" i="2"/>
  <c r="H163" i="2"/>
  <c r="H162" i="2"/>
  <c r="H159" i="2"/>
  <c r="H158" i="2"/>
  <c r="H155" i="2"/>
  <c r="H154" i="2"/>
  <c r="H148" i="2"/>
  <c r="H147" i="2"/>
  <c r="H144" i="2"/>
  <c r="H143" i="2"/>
  <c r="H140" i="2"/>
  <c r="H139" i="2"/>
  <c r="H136" i="2"/>
  <c r="H135" i="2"/>
  <c r="H132" i="2"/>
  <c r="H131" i="2"/>
  <c r="H128" i="2"/>
  <c r="H127" i="2"/>
  <c r="H122" i="2"/>
  <c r="H121" i="2"/>
  <c r="H118" i="2"/>
  <c r="H117" i="2"/>
  <c r="H114" i="2"/>
  <c r="H113" i="2"/>
  <c r="H110" i="2"/>
  <c r="H109" i="2"/>
  <c r="H106" i="2"/>
  <c r="H105" i="2"/>
  <c r="H102" i="2"/>
  <c r="H101" i="2"/>
  <c r="H75" i="2"/>
  <c r="H95" i="2"/>
  <c r="H96" i="2"/>
  <c r="H92" i="2"/>
  <c r="H91" i="2"/>
  <c r="H88" i="2"/>
  <c r="H87" i="2"/>
  <c r="H84" i="2"/>
  <c r="H83" i="2"/>
  <c r="H80" i="2"/>
  <c r="H79" i="2"/>
  <c r="H76" i="2"/>
  <c r="H15" i="2"/>
  <c r="H70" i="2"/>
  <c r="H69" i="2"/>
  <c r="H66" i="2"/>
  <c r="H65" i="2"/>
  <c r="H61" i="2"/>
  <c r="H62" i="2"/>
  <c r="H57" i="2"/>
  <c r="H58" i="2"/>
  <c r="H53" i="2"/>
  <c r="H54" i="2"/>
  <c r="H49" i="2"/>
  <c r="H50" i="2"/>
  <c r="H43" i="2"/>
  <c r="H42" i="2"/>
  <c r="H41" i="2"/>
  <c r="H40" i="2"/>
  <c r="H39" i="2"/>
  <c r="H38" i="2"/>
  <c r="H44" i="2" s="1"/>
  <c r="H27" i="2"/>
  <c r="G39" i="2"/>
  <c r="G40" i="2"/>
  <c r="G41" i="2"/>
  <c r="G42" i="2"/>
  <c r="G43" i="2"/>
  <c r="G38" i="2"/>
  <c r="G32" i="2"/>
  <c r="K39" i="2"/>
  <c r="K38" i="2"/>
  <c r="K27" i="2"/>
  <c r="H33" i="2"/>
  <c r="H32" i="2"/>
  <c r="G33" i="2"/>
  <c r="H31" i="2"/>
  <c r="H30" i="2"/>
  <c r="H29" i="2"/>
  <c r="H28" i="2"/>
  <c r="G28" i="2"/>
  <c r="G29" i="2"/>
  <c r="G30" i="2"/>
  <c r="G31" i="2"/>
  <c r="G27" i="2"/>
  <c r="K28" i="2"/>
  <c r="H22" i="2"/>
  <c r="H21" i="2"/>
  <c r="H16" i="2"/>
  <c r="H11" i="2"/>
  <c r="H10" i="2"/>
  <c r="H9" i="2"/>
  <c r="H3" i="2"/>
  <c r="H5" i="2"/>
  <c r="H4" i="2"/>
  <c r="AD18" i="2" l="1"/>
  <c r="AD21" i="2" s="1"/>
  <c r="AD17" i="2"/>
  <c r="AD20" i="2" s="1"/>
  <c r="H34" i="2"/>
  <c r="H17" i="2"/>
  <c r="H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3F23A-35E4-45B2-A1A6-6872BE420340}" name="Customer_Behaviour" type="6" refreshedVersion="8" background="1" saveData="1">
    <textPr codePage="437" sourceFile="C:\Users\adam\Desktop\Kuliah_sem_Genap_2024_2\Pengantar data science\Pertemuan_9_NaiveBayes\Customer_Behaviour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<sst xmlns="http://schemas.openxmlformats.org/spreadsheetml/2006/main" count="571" uniqueCount="156">
  <si>
    <t>Age</t>
  </si>
  <si>
    <t>User ID</t>
  </si>
  <si>
    <t>Gender</t>
  </si>
  <si>
    <t>EstimatedSalary</t>
  </si>
  <si>
    <t>Purchased</t>
  </si>
  <si>
    <t>Male</t>
  </si>
  <si>
    <t>Female</t>
  </si>
  <si>
    <t>Purchased (1)</t>
  </si>
  <si>
    <t>Purchased (0)</t>
  </si>
  <si>
    <t xml:space="preserve">Total </t>
  </si>
  <si>
    <t>Male Purchased</t>
  </si>
  <si>
    <t>Male Purchased (1)</t>
  </si>
  <si>
    <t>Male Purchased (0)</t>
  </si>
  <si>
    <t>Female Purchased</t>
  </si>
  <si>
    <t>Female Purchased (1)</t>
  </si>
  <si>
    <t>Female Purchased (0)</t>
  </si>
  <si>
    <t>Rentang Age</t>
  </si>
  <si>
    <t>Total</t>
  </si>
  <si>
    <t>Min :</t>
  </si>
  <si>
    <t>Max :</t>
  </si>
  <si>
    <t>Rentang Salary</t>
  </si>
  <si>
    <t>Male berusia &lt;= 30 dengan salary 42000 - 68999 sehingga Purchased (1)</t>
  </si>
  <si>
    <t>Male berusia &lt;= 30 dengan salary 42000 - 68999 sehingga Purchased (0)</t>
  </si>
  <si>
    <t>Male berusia &lt;= 30 dengan salary 15000 - 41999 sehingga Purchased (1)</t>
  </si>
  <si>
    <t>Male berusia &lt;= 30 dengan salary 15000-41999 sehingga Purchased (0)</t>
  </si>
  <si>
    <t>Male berusia &lt;= 30 dengan salary 69000 - 95999 sehingga Purchased (1)</t>
  </si>
  <si>
    <t>Male berusia &lt;= 30 dengan salary 69000 - 95999 sehingga Purchased (0)</t>
  </si>
  <si>
    <t>Male berusia &lt;= 30 dengan salary 96000 - 122999 sehingga Purchased (1)</t>
  </si>
  <si>
    <t>Male berusia &lt;= 30 dengan salary 96000 - 122999 sehingga Purchased (0)</t>
  </si>
  <si>
    <t>Male berusia &lt;= 30 dengan salary 123000 - 149999 sehingga Purchased (1)</t>
  </si>
  <si>
    <t>Male berusia &lt;= 30 dengan salary 123000 - 149999 sehingga Purchased (0)</t>
  </si>
  <si>
    <t>Male berusia &lt;= 30 dengan salary 150000 - 176999 sehingga Purchased (1)</t>
  </si>
  <si>
    <t>Male berusia &lt;= 30 dengan salary 150000 - 176999 sehingga Purchased (0)</t>
  </si>
  <si>
    <t>Male berusia 31…40 dengan salary 15000-41999 sehingga Purchased (1)</t>
  </si>
  <si>
    <t>Male berusia 31…40 dengan salary 15000-41999 sehingga Purchased (0)</t>
  </si>
  <si>
    <t>Male berusia &lt;=30</t>
  </si>
  <si>
    <t>Male berusia 31…40</t>
  </si>
  <si>
    <t>Male berusia 31…40 dengan salary 42000-68999 sehingga Purchased (1)</t>
  </si>
  <si>
    <t>Male berusia 31…40 dengan salary 42000-68999 sehingga Purchased (0)</t>
  </si>
  <si>
    <t>Male berusia 31…40 dengan salary 69000-95999 sehingga Purchased (1)</t>
  </si>
  <si>
    <t>Male berusia 31…40 dengan salary 69000-95999 sehingga Purchased (0)</t>
  </si>
  <si>
    <t>Male berusia 31…40 dengan salary 96000-122999 sehingga Purchased (1)</t>
  </si>
  <si>
    <t>Male berusia 31…40 dengan salary 96000-122999 sehingga Purchased (0)</t>
  </si>
  <si>
    <t>Male berusia 31…40 dengan salary 123000-149999 sehingga Purchased (1)</t>
  </si>
  <si>
    <t>Male berusia 31…40 dengan salary 123000-149999 sehingga Purchased (0)</t>
  </si>
  <si>
    <t>Male berusia 31…40 dengan salary 150000-176999 sehingga Purchased (1)</t>
  </si>
  <si>
    <t>Male berusia 31…40 dengan salary 150000-176999 sehingga Purchased (0)</t>
  </si>
  <si>
    <t>Male berusia 41…50</t>
  </si>
  <si>
    <t>Male berusia 41…50 dengan salary 15000-41999 sehingga Purchased (1)</t>
  </si>
  <si>
    <t>Male berusia 41…50 dengan salary 15000-41999 sehingga Purchased (0)</t>
  </si>
  <si>
    <t>Male berusia 41…50 dengan salary 42000-68999 sehingga Purchased (1)</t>
  </si>
  <si>
    <t>Male berusia 41…50 dengan salary 42000-68999 sehingga Purchased (0)</t>
  </si>
  <si>
    <t>Male berusia 41…50 dengan salary 69000-95999 sehingga Purchased (1)</t>
  </si>
  <si>
    <t>Male berusia 41…50 dengan salary 69000-95999 sehingga Purchased (0)</t>
  </si>
  <si>
    <t>Male berusia 41…50 dengan salary 96000-122999 sehingga Purchased (1)</t>
  </si>
  <si>
    <t>Male berusia 41…50 dengan salary 96000-122999 sehingga Purchased (0)</t>
  </si>
  <si>
    <t>Male berusia 41…50 dengan salary 123000-149999 sehingga Purchased (1)</t>
  </si>
  <si>
    <t>Male berusia 41…50 dengan salary 123000-149999 sehingga Purchased (0)</t>
  </si>
  <si>
    <t>Male berusia 41…50 dengan salary 150000-176999 sehingga Purchased (1)</t>
  </si>
  <si>
    <t>Male berusia 41…50 dengan salary 150000-176999 sehingga Purchased (0)</t>
  </si>
  <si>
    <t>Male berusia 51…60</t>
  </si>
  <si>
    <t>Male berusia 51…60 dengan salary 15000-41999 sehingga Purchased (1)</t>
  </si>
  <si>
    <t>Male berusia 51…60 dengan salary 15000-41999 sehingga Purchased (0)</t>
  </si>
  <si>
    <t>Male berusia 51…60 dengan salary 42000-68999 sehingga Purchased (1)</t>
  </si>
  <si>
    <t>Male berusia 51…60 dengan salary 42000-68999 sehingga Purchased (0)</t>
  </si>
  <si>
    <t>Male berusia 51…60 dengan salary 69000-95999 sehingga Purchased (1)</t>
  </si>
  <si>
    <t>Male berusia 51…60 dengan salary 69000-95999 sehingga Purchased (0)</t>
  </si>
  <si>
    <t>Male berusia 51…60 dengan salary 96000-122999 sehingga Purchased (1)</t>
  </si>
  <si>
    <t>Male berusia 51…60 dengan salary 96000-122999 sehingga Purchased (0)</t>
  </si>
  <si>
    <t>Male berusia 51…60 dengan salary 123000-149999 sehingga Purchased (1)</t>
  </si>
  <si>
    <t>Male berusia 51…60 dengan salary 123000-149999 sehingga Purchased (0)</t>
  </si>
  <si>
    <t>Male berusia 51…60 dengan salary 150000-176999 sehingga Purchased (1)</t>
  </si>
  <si>
    <t>Male berusia 51…60 dengan salary 150000-176999 sehingga Purchased (0)</t>
  </si>
  <si>
    <t>Female berusia &lt;=30</t>
  </si>
  <si>
    <t>Female berusia &lt;= 30 dengan salary 15000 - 41999 sehingga Purchased (1)</t>
  </si>
  <si>
    <t>Female berusia &lt;= 30 dengan salary 15000-41999 sehingga Purchased (0)</t>
  </si>
  <si>
    <t>Female berusia &lt;= 30 dengan salary 42000 - 68999 sehingga Purchased (1)</t>
  </si>
  <si>
    <t>Female berusia &lt;= 30 dengan salary 42000 - 68999 sehingga Purchased (0)</t>
  </si>
  <si>
    <t>Female berusia &lt;= 30 dengan salary 69000 - 95999 sehingga Purchased (1)</t>
  </si>
  <si>
    <t>Female berusia &lt;= 30 dengan salary 69000 - 95999 sehingga Purchased (0)</t>
  </si>
  <si>
    <t>Female berusia &lt;= 30 dengan salary 96000 - 122999 sehingga Purchased (1)</t>
  </si>
  <si>
    <t>Female berusia &lt;= 30 dengan salary 96000 - 122999 sehingga Purchased (0)</t>
  </si>
  <si>
    <t>Female berusia &lt;= 30 dengan salary 123000 - 149999 sehingga Purchased (1)</t>
  </si>
  <si>
    <t>Female berusia &lt;= 30 dengan salary 123000 - 149999 sehingga Purchased (0)</t>
  </si>
  <si>
    <t>Female berusia &lt;= 30 dengan salary 150000 - 176999 sehingga Purchased (1)</t>
  </si>
  <si>
    <t>Female berusia &lt;= 30 dengan salary 150000 - 176999 sehingga Purchased (0)</t>
  </si>
  <si>
    <t>Female berusia 31…40</t>
  </si>
  <si>
    <t>Female berusia 31…40 dengan salary 15000-41999 sehingga Purchased (1)</t>
  </si>
  <si>
    <t>Female berusia 31…40 dengan salary 15000-41999 sehingga Purchased (0)</t>
  </si>
  <si>
    <t>Female berusia 31…40 dengan salary 42000-68999 sehingga Purchased (1)</t>
  </si>
  <si>
    <t>Female berusia 31…40 dengan salary 42000-68999 sehingga Purchased (0)</t>
  </si>
  <si>
    <t>Female berusia 31…40 dengan salary 69000-95999 sehingga Purchased (1)</t>
  </si>
  <si>
    <t>Female berusia 31…40 dengan salary 69000-95999 sehingga Purchased (0)</t>
  </si>
  <si>
    <t>Female berusia 31…40 dengan salary 96000-122999 sehingga Purchased (1)</t>
  </si>
  <si>
    <t>Female berusia 31…40 dengan salary 96000-122999 sehingga Purchased (0)</t>
  </si>
  <si>
    <t>Female berusia 31…40 dengan salary 123000-149999 sehingga Purchased (1)</t>
  </si>
  <si>
    <t>Female berusia 31…40 dengan salary 123000-149999 sehingga Purchased (0)</t>
  </si>
  <si>
    <t>Female berusia 31…40 dengan salary 150000-176999 sehingga Purchased (1)</t>
  </si>
  <si>
    <t>Female berusia 31…40 dengan salary 150000-176999 sehingga Purchased (0)</t>
  </si>
  <si>
    <t>Female berusia 41…50</t>
  </si>
  <si>
    <t>Female berusia 41…50 dengan salary 15000-41999 sehingga Purchased (1)</t>
  </si>
  <si>
    <t>Female berusia 41…50 dengan salary 15000-41999 sehingga Purchased (0)</t>
  </si>
  <si>
    <t>Female berusia 41…50 dengan salary 42000-68999 sehingga Purchased (1)</t>
  </si>
  <si>
    <t>Female berusia 41…50 dengan salary 42000-68999 sehingga Purchased (0)</t>
  </si>
  <si>
    <t>Female berusia 41…50 dengan salary 69000-95999 sehingga Purchased (1)</t>
  </si>
  <si>
    <t>Female berusia 41…50 dengan salary 69000-95999 sehingga Purchased (0)</t>
  </si>
  <si>
    <t>Female berusia 41…50 dengan salary 96000-122999 sehingga Purchased (1)</t>
  </si>
  <si>
    <t>Female berusia 41…50 dengan salary 96000-122999 sehingga Purchased (0)</t>
  </si>
  <si>
    <t>Female berusia 41…50 dengan salary 123000-149999 sehingga Purchased (1)</t>
  </si>
  <si>
    <t>Female berusia 41…50 dengan salary 123000-149999 sehingga Purchased (0)</t>
  </si>
  <si>
    <t>Female berusia 41…50 dengan salary 150000-176999 sehingga Purchased (1)</t>
  </si>
  <si>
    <t>Female berusia 41…50 dengan salary 150000-176999 sehingga Purchased (0)</t>
  </si>
  <si>
    <t>Female berusia 51…60</t>
  </si>
  <si>
    <t>Female berusia 51…60 dengan salary 15000-41999 sehingga Purchased (1)</t>
  </si>
  <si>
    <t>Female berusia 51…60 dengan salary 15000-41999 sehingga Purchased (0)</t>
  </si>
  <si>
    <t>Female berusia 51…60 dengan salary 42000-68999 sehingga Purchased (1)</t>
  </si>
  <si>
    <t>Female berusia 51…60 dengan salary 42000-68999 sehingga Purchased (0)</t>
  </si>
  <si>
    <t>Female berusia 51…60 dengan salary 69000-95999 sehingga Purchased (1)</t>
  </si>
  <si>
    <t>Female berusia 51…60 dengan salary 69000-95999 sehingga Purchased (0)</t>
  </si>
  <si>
    <t>Female berusia 51…60 dengan salary 96000-122999 sehingga Purchased (1)</t>
  </si>
  <si>
    <t>Female berusia 51…60 dengan salary 96000-122999 sehingga Purchased (0)</t>
  </si>
  <si>
    <t>Female berusia 51…60 dengan salary 123000-149999 sehingga Purchased (1)</t>
  </si>
  <si>
    <t>Female berusia 51…60 dengan salary 123000-149999 sehingga Purchased (0)</t>
  </si>
  <si>
    <t>Female berusia 51…60 dengan salary 150000-176999 sehingga Purchased (1)</t>
  </si>
  <si>
    <t>Female berusia 51…60 dengan salary 150000-176999 sehingga Purchased (0)</t>
  </si>
  <si>
    <t>Ket :</t>
  </si>
  <si>
    <t>Rendah</t>
  </si>
  <si>
    <t>Sangat Rendah</t>
  </si>
  <si>
    <t>Menengah</t>
  </si>
  <si>
    <t>Menengah Atas</t>
  </si>
  <si>
    <t>Tinggi</t>
  </si>
  <si>
    <t>Tinggi Atas</t>
  </si>
  <si>
    <t>Prediksi Naïve Beyes :</t>
  </si>
  <si>
    <t>No. 1</t>
  </si>
  <si>
    <t>No. 2</t>
  </si>
  <si>
    <t>P(Gender = Male | Purchase = 1)</t>
  </si>
  <si>
    <t>P(Gender = Male | Purchase = 0)</t>
  </si>
  <si>
    <t>P(Gaji = Sangat Rendah | Purchased = 1)</t>
  </si>
  <si>
    <t>P(Gaji = Sangat Rendah | Purchased = 0)</t>
  </si>
  <si>
    <t>P(Umur&lt;=30 | Purchased = 1)</t>
  </si>
  <si>
    <t>P(Umur&lt;=30 | Purchased = 0)</t>
  </si>
  <si>
    <t>X=(Gender = Male, usia &lt;=30, gaji = sangat rendah (15.000-41.999)), apakah akan membeli atau tidak?</t>
  </si>
  <si>
    <t>Y=(Gender = Female, usia 31-40, gaji = rendah (42.000-68.999)), apakah akan membeli atau tidak?</t>
  </si>
  <si>
    <t>P(X | Purchased = 1)</t>
  </si>
  <si>
    <t>P(X | Purchased = 0)</t>
  </si>
  <si>
    <t>P(X | Purchased = 1 ) * P(Purchased = 1)</t>
  </si>
  <si>
    <t>P(X | Purchased = 0 ) * P(Purchased = 0)</t>
  </si>
  <si>
    <t>X=(Gender = Male, usia &lt;=30, gaji = sangat rendah (15.000-41.999))</t>
  </si>
  <si>
    <t>Dapat disimpulkan bahwa, Male berusia &lt;=30 dengan gaji = sangat rendah, diprediksikan tidak akan melakukan pembelian karena memiliki nilai minimum</t>
  </si>
  <si>
    <t>P(Gender = Female | Purchase = 1)</t>
  </si>
  <si>
    <t>P(Gender = Female | Purchase = 0)</t>
  </si>
  <si>
    <t>P(Umur = 31..40 | Purchased = 0)</t>
  </si>
  <si>
    <t>P(Umur = 31..40 | Purchased = 1)</t>
  </si>
  <si>
    <t>P(Gaji = Rendah | Purchased = 1)</t>
  </si>
  <si>
    <t>P(Gaji = Rendah | Purchased = 0)</t>
  </si>
  <si>
    <t>Dapat disimpulkan bahwa, Female berusia 31…40 dengan gaji =  rendah, diprediksikan tidak akan melakukan pembelian karena memiliki nilai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</si>
</sst>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1" xfId="0" applyFont="1" applyFill="1" applyBorder="1"/>
    <xf numFmtId="0" fontId="0" fillId="2" borderId="3" xfId="0" applyFill="1" applyBorder="1"/>
    <xf numFmtId="0" fontId="0" fillId="2" borderId="2" xfId="0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_Behaviour" connectionId="1" xr16:uid="{BB878511-79FD-428A-A2E8-161E09C603A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8376-FB90-4038-AE46-12214BF25C8A}">
  <dimension ref="A1:AG401"/>
  <sheetViews>
    <sheetView tabSelected="1" zoomScale="52" zoomScaleNormal="70" workbookViewId="0">
      <selection activeCell="AA21" sqref="AA21"/>
    </sheetView>
  </sheetViews>
  <sheetFormatPr defaultRowHeight="15" x14ac:dyDescent="0.25"/>
  <cols>
    <col min="1" max="1" width="12.7109375" style="1" bestFit="1" customWidth="1"/>
    <col min="2" max="2" width="9" style="1" bestFit="1" customWidth="1"/>
    <col min="3" max="3" width="5.85546875" style="1" bestFit="1" customWidth="1"/>
    <col min="4" max="4" width="17.7109375" style="1" bestFit="1" customWidth="1"/>
    <col min="5" max="5" width="12" style="1" bestFit="1" customWidth="1"/>
    <col min="7" max="7" width="81.140625" bestFit="1" customWidth="1"/>
    <col min="8" max="8" width="9.140625" customWidth="1"/>
    <col min="13" max="13" width="22.7109375" bestFit="1" customWidth="1"/>
    <col min="14" max="14" width="17.42578125" bestFit="1" customWidth="1"/>
    <col min="28" max="28" width="95.5703125" bestFit="1" customWidth="1"/>
    <col min="29" max="29" width="9.140625" customWidth="1"/>
  </cols>
  <sheetData>
    <row r="1" spans="1:30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G1" s="1"/>
    </row>
    <row r="2" spans="1:30" ht="15.75" thickBot="1" x14ac:dyDescent="0.3">
      <c r="A2" s="1">
        <v>15624510</v>
      </c>
      <c r="B2" s="1" t="s">
        <v>5</v>
      </c>
      <c r="C2" s="1">
        <v>19</v>
      </c>
      <c r="D2" s="1">
        <v>19000</v>
      </c>
      <c r="E2" s="1">
        <v>0</v>
      </c>
      <c r="G2" s="3" t="s">
        <v>4</v>
      </c>
      <c r="H2" s="4"/>
      <c r="M2" t="s">
        <v>132</v>
      </c>
    </row>
    <row r="3" spans="1:30" x14ac:dyDescent="0.25">
      <c r="A3" s="1">
        <v>15810944</v>
      </c>
      <c r="B3" s="1" t="s">
        <v>5</v>
      </c>
      <c r="C3" s="1">
        <v>35</v>
      </c>
      <c r="D3" s="1">
        <v>20000</v>
      </c>
      <c r="E3" s="1">
        <v>0</v>
      </c>
      <c r="G3" s="2" t="s">
        <v>7</v>
      </c>
      <c r="H3" s="5">
        <f>COUNTIF(E2:E401,1)</f>
        <v>143</v>
      </c>
      <c r="L3" t="s">
        <v>133</v>
      </c>
      <c r="M3" t="s">
        <v>141</v>
      </c>
    </row>
    <row r="4" spans="1:30" x14ac:dyDescent="0.25">
      <c r="A4" s="1">
        <v>15668575</v>
      </c>
      <c r="B4" s="1" t="s">
        <v>6</v>
      </c>
      <c r="C4" s="1">
        <v>26</v>
      </c>
      <c r="D4" s="1">
        <v>43000</v>
      </c>
      <c r="E4" s="1">
        <v>0</v>
      </c>
      <c r="G4" s="2" t="s">
        <v>8</v>
      </c>
      <c r="H4" s="5">
        <f>COUNTIF(E2:E401,0)</f>
        <v>257</v>
      </c>
      <c r="L4" t="s">
        <v>134</v>
      </c>
      <c r="M4" t="s">
        <v>142</v>
      </c>
    </row>
    <row r="5" spans="1:30" x14ac:dyDescent="0.25">
      <c r="A5" s="1">
        <v>15603246</v>
      </c>
      <c r="B5" s="1" t="s">
        <v>6</v>
      </c>
      <c r="C5" s="1">
        <v>27</v>
      </c>
      <c r="D5" s="1">
        <v>57000</v>
      </c>
      <c r="E5" s="1">
        <v>0</v>
      </c>
      <c r="G5" s="6" t="s">
        <v>9</v>
      </c>
      <c r="H5" s="7">
        <f>COUNTA(E2:E401)</f>
        <v>400</v>
      </c>
    </row>
    <row r="6" spans="1:30" x14ac:dyDescent="0.25">
      <c r="A6" s="1">
        <v>15804002</v>
      </c>
      <c r="B6" s="1" t="s">
        <v>5</v>
      </c>
      <c r="C6" s="1">
        <v>19</v>
      </c>
      <c r="D6" s="1">
        <v>76000</v>
      </c>
      <c r="E6" s="1">
        <v>0</v>
      </c>
      <c r="L6" s="15" t="s">
        <v>133</v>
      </c>
      <c r="M6" s="15" t="s">
        <v>147</v>
      </c>
      <c r="N6" s="15"/>
      <c r="O6" s="15"/>
      <c r="P6" s="15"/>
      <c r="Q6" s="15"/>
      <c r="AA6" s="13" t="s">
        <v>134</v>
      </c>
      <c r="AB6" s="13" t="s">
        <v>142</v>
      </c>
    </row>
    <row r="7" spans="1:30" ht="15.75" thickBot="1" x14ac:dyDescent="0.3">
      <c r="A7" s="1">
        <v>15728773</v>
      </c>
      <c r="B7" s="1" t="s">
        <v>5</v>
      </c>
      <c r="C7" s="1">
        <v>27</v>
      </c>
      <c r="D7" s="1">
        <v>58000</v>
      </c>
      <c r="E7" s="1">
        <v>0</v>
      </c>
    </row>
    <row r="8" spans="1:30" ht="15.75" thickBot="1" x14ac:dyDescent="0.3">
      <c r="A8" s="1">
        <v>15598044</v>
      </c>
      <c r="B8" s="1" t="s">
        <v>6</v>
      </c>
      <c r="C8" s="1">
        <v>27</v>
      </c>
      <c r="D8" s="1">
        <v>84000</v>
      </c>
      <c r="E8" s="1">
        <v>0</v>
      </c>
      <c r="G8" s="3" t="s">
        <v>2</v>
      </c>
      <c r="H8" s="4"/>
      <c r="M8" s="16" t="s">
        <v>135</v>
      </c>
      <c r="N8" s="17"/>
      <c r="O8" s="18">
        <f>H15/H3</f>
        <v>0.46153846153846156</v>
      </c>
      <c r="AB8" s="16" t="s">
        <v>149</v>
      </c>
      <c r="AC8" s="17"/>
      <c r="AD8" s="18">
        <f>H21/H3</f>
        <v>0.53846153846153844</v>
      </c>
    </row>
    <row r="9" spans="1:30" ht="15.75" thickBot="1" x14ac:dyDescent="0.3">
      <c r="A9" s="1">
        <v>15694829</v>
      </c>
      <c r="B9" s="1" t="s">
        <v>6</v>
      </c>
      <c r="C9" s="1">
        <v>32</v>
      </c>
      <c r="D9" s="1">
        <v>150000</v>
      </c>
      <c r="E9" s="1">
        <v>1</v>
      </c>
      <c r="G9" s="2" t="s">
        <v>5</v>
      </c>
      <c r="H9" s="5">
        <f>COUNTIF(B2:B401, "Male")</f>
        <v>196</v>
      </c>
      <c r="M9" s="16" t="s">
        <v>136</v>
      </c>
      <c r="N9" s="17"/>
      <c r="O9" s="18">
        <f>H16/H4</f>
        <v>0.50583657587548636</v>
      </c>
      <c r="AB9" s="16" t="s">
        <v>150</v>
      </c>
      <c r="AC9" s="17"/>
      <c r="AD9" s="18">
        <f>H22/H4</f>
        <v>0.49416342412451364</v>
      </c>
    </row>
    <row r="10" spans="1:30" ht="15.75" thickBot="1" x14ac:dyDescent="0.3">
      <c r="A10" s="1">
        <v>15600575</v>
      </c>
      <c r="B10" s="1" t="s">
        <v>5</v>
      </c>
      <c r="C10" s="1">
        <v>25</v>
      </c>
      <c r="D10" s="1">
        <v>33000</v>
      </c>
      <c r="E10" s="1">
        <v>0</v>
      </c>
      <c r="G10" s="2" t="s">
        <v>6</v>
      </c>
      <c r="H10" s="5">
        <f>COUNTIF(B2:B401, "Female")</f>
        <v>204</v>
      </c>
    </row>
    <row r="11" spans="1:30" ht="15.75" thickBot="1" x14ac:dyDescent="0.3">
      <c r="A11" s="1">
        <v>15727311</v>
      </c>
      <c r="B11" s="1" t="s">
        <v>6</v>
      </c>
      <c r="C11" s="1">
        <v>35</v>
      </c>
      <c r="D11" s="1">
        <v>65000</v>
      </c>
      <c r="E11" s="1">
        <v>0</v>
      </c>
      <c r="G11" s="6" t="s">
        <v>9</v>
      </c>
      <c r="H11" s="7">
        <f>COUNTA(B2:B401)</f>
        <v>400</v>
      </c>
      <c r="M11" s="16" t="s">
        <v>139</v>
      </c>
      <c r="N11" s="17"/>
      <c r="O11" s="18">
        <f>COUNTIFS(C:C,"&lt;=30",E:E,1)/COUNTIFS(E:E,1)</f>
        <v>4.195804195804196E-2</v>
      </c>
      <c r="AB11" s="16" t="s">
        <v>152</v>
      </c>
      <c r="AC11" s="17"/>
      <c r="AD11" s="18">
        <f>COUNTIFS(C:C,"&gt;=31",C:C,"&lt;=40",E:E,1)/COUNTIFS(E:E,1)</f>
        <v>0.23076923076923078</v>
      </c>
    </row>
    <row r="12" spans="1:30" ht="15.75" thickBot="1" x14ac:dyDescent="0.3">
      <c r="A12" s="1">
        <v>15570769</v>
      </c>
      <c r="B12" s="1" t="s">
        <v>6</v>
      </c>
      <c r="C12" s="1">
        <v>26</v>
      </c>
      <c r="D12" s="1">
        <v>80000</v>
      </c>
      <c r="E12" s="1">
        <v>0</v>
      </c>
      <c r="M12" s="16" t="s">
        <v>140</v>
      </c>
      <c r="N12" s="17"/>
      <c r="O12" s="18">
        <f>COUNTIFS(C:C,"&lt;=30",E:E,0)/COUNTIFS(E:E,0)</f>
        <v>0.40856031128404668</v>
      </c>
      <c r="AB12" s="16" t="s">
        <v>151</v>
      </c>
      <c r="AC12" s="17"/>
      <c r="AD12" s="18">
        <f>COUNTIFS(C:C,"&gt;=31",C:C,"&lt;=40",E:E,0)/COUNTIFS(E:E,0)</f>
        <v>0.42412451361867703</v>
      </c>
    </row>
    <row r="13" spans="1:30" ht="15.75" thickBot="1" x14ac:dyDescent="0.3">
      <c r="A13" s="1">
        <v>15606274</v>
      </c>
      <c r="B13" s="1" t="s">
        <v>6</v>
      </c>
      <c r="C13" s="1">
        <v>26</v>
      </c>
      <c r="D13" s="1">
        <v>52000</v>
      </c>
      <c r="E13" s="1">
        <v>0</v>
      </c>
    </row>
    <row r="14" spans="1:30" ht="15.75" thickBot="1" x14ac:dyDescent="0.3">
      <c r="A14" s="1">
        <v>15746139</v>
      </c>
      <c r="B14" s="1" t="s">
        <v>5</v>
      </c>
      <c r="C14" s="1">
        <v>20</v>
      </c>
      <c r="D14" s="1">
        <v>86000</v>
      </c>
      <c r="E14" s="1">
        <v>0</v>
      </c>
      <c r="G14" s="3" t="s">
        <v>10</v>
      </c>
      <c r="H14" s="4"/>
      <c r="M14" s="16" t="s">
        <v>137</v>
      </c>
      <c r="N14" s="17"/>
      <c r="O14" s="18">
        <f>COUNTIFS(D:D,"&gt;=15000",D:D,"&lt;=41999",E:E,1)/COUNTIFS(E:E,1)</f>
        <v>0.25874125874125875</v>
      </c>
      <c r="AB14" s="16" t="s">
        <v>153</v>
      </c>
      <c r="AC14" s="17"/>
      <c r="AD14" s="18">
        <f>COUNTIFS(D:D,"&gt;=42000",D:D,"&lt;=68999",E:E,1)/COUNTIFS(E:E,1)</f>
        <v>6.9930069930069935E-2</v>
      </c>
    </row>
    <row r="15" spans="1:30" ht="15.75" thickBot="1" x14ac:dyDescent="0.3">
      <c r="A15" s="1">
        <v>15704987</v>
      </c>
      <c r="B15" s="1" t="s">
        <v>5</v>
      </c>
      <c r="C15" s="1">
        <v>32</v>
      </c>
      <c r="D15" s="1">
        <v>18000</v>
      </c>
      <c r="E15" s="1">
        <v>0</v>
      </c>
      <c r="G15" s="2" t="s">
        <v>11</v>
      </c>
      <c r="H15" s="5">
        <f>COUNTIFS(B2:B401, "Male", E2:E401, 1)</f>
        <v>66</v>
      </c>
      <c r="M15" s="16" t="s">
        <v>138</v>
      </c>
      <c r="N15" s="17"/>
      <c r="O15" s="18">
        <f>COUNTIFS(D:D,"&gt;=15000",D:D,"&lt;=41999",E:E,0)/COUNTIFS(E:E,0)</f>
        <v>0.20622568093385213</v>
      </c>
      <c r="AB15" s="16" t="s">
        <v>154</v>
      </c>
      <c r="AC15" s="17"/>
      <c r="AD15" s="18">
        <f>COUNTIFS(D:D,"&gt;=42000",D:D,"&lt;=68999",E:E,0)/COUNTIFS(E:E,0)</f>
        <v>0.38132295719844356</v>
      </c>
    </row>
    <row r="16" spans="1:30" ht="15.75" thickBot="1" x14ac:dyDescent="0.3">
      <c r="A16" s="1">
        <v>15628972</v>
      </c>
      <c r="B16" s="1" t="s">
        <v>5</v>
      </c>
      <c r="C16" s="1">
        <v>18</v>
      </c>
      <c r="D16" s="1">
        <v>82000</v>
      </c>
      <c r="E16" s="1">
        <v>0</v>
      </c>
      <c r="G16" s="2" t="s">
        <v>12</v>
      </c>
      <c r="H16" s="5">
        <f>COUNTIFS(B2:B401, "Male", E2:E401, 0)</f>
        <v>130</v>
      </c>
    </row>
    <row r="17" spans="1:33" ht="15.75" thickBot="1" x14ac:dyDescent="0.3">
      <c r="A17" s="1">
        <v>15697686</v>
      </c>
      <c r="B17" s="1" t="s">
        <v>5</v>
      </c>
      <c r="C17" s="1">
        <v>29</v>
      </c>
      <c r="D17" s="1">
        <v>80000</v>
      </c>
      <c r="E17" s="1">
        <v>0</v>
      </c>
      <c r="G17" s="6" t="s">
        <v>9</v>
      </c>
      <c r="H17" s="7">
        <f>H15+H16</f>
        <v>196</v>
      </c>
      <c r="M17" s="16" t="s">
        <v>143</v>
      </c>
      <c r="N17" s="17"/>
      <c r="O17" s="18">
        <f>O8*O11*O14</f>
        <v>5.0105891956349199E-3</v>
      </c>
      <c r="AB17" s="16" t="s">
        <v>143</v>
      </c>
      <c r="AC17" s="17"/>
      <c r="AD17" s="18">
        <f>AD8*AD11*AD14</f>
        <v>8.6895353167542513E-3</v>
      </c>
    </row>
    <row r="18" spans="1:33" ht="15.75" thickBot="1" x14ac:dyDescent="0.3">
      <c r="A18" s="1">
        <v>15733883</v>
      </c>
      <c r="B18" s="1" t="s">
        <v>5</v>
      </c>
      <c r="C18" s="1">
        <v>47</v>
      </c>
      <c r="D18" s="1">
        <v>25000</v>
      </c>
      <c r="E18" s="1">
        <v>1</v>
      </c>
      <c r="M18" s="16" t="s">
        <v>144</v>
      </c>
      <c r="N18" s="17"/>
      <c r="O18" s="18">
        <f>O9*O12*O15</f>
        <v>4.2619578566626008E-2</v>
      </c>
      <c r="AB18" s="16" t="s">
        <v>144</v>
      </c>
      <c r="AC18" s="17"/>
      <c r="AD18" s="18">
        <f>AD9*AD12*AD15</f>
        <v>7.9920266718618821E-2</v>
      </c>
    </row>
    <row r="19" spans="1:33" ht="15.75" thickBot="1" x14ac:dyDescent="0.3">
      <c r="A19" s="1">
        <v>15617482</v>
      </c>
      <c r="B19" s="1" t="s">
        <v>5</v>
      </c>
      <c r="C19" s="1">
        <v>45</v>
      </c>
      <c r="D19" s="1">
        <v>26000</v>
      </c>
      <c r="E19" s="1">
        <v>1</v>
      </c>
    </row>
    <row r="20" spans="1:33" ht="15.75" thickBot="1" x14ac:dyDescent="0.3">
      <c r="A20" s="1">
        <v>15704583</v>
      </c>
      <c r="B20" s="1" t="s">
        <v>5</v>
      </c>
      <c r="C20" s="1">
        <v>46</v>
      </c>
      <c r="D20" s="1">
        <v>28000</v>
      </c>
      <c r="E20" s="1">
        <v>1</v>
      </c>
      <c r="G20" s="3" t="s">
        <v>13</v>
      </c>
      <c r="H20" s="4"/>
      <c r="M20" s="16" t="s">
        <v>145</v>
      </c>
      <c r="N20" s="17"/>
      <c r="O20" s="18">
        <f>O17*(143/400)</f>
        <v>1.7912856374394839E-3</v>
      </c>
      <c r="AB20" s="16" t="s">
        <v>145</v>
      </c>
      <c r="AC20" s="17"/>
      <c r="AD20" s="18">
        <f>AD17*(143/400)</f>
        <v>3.1065088757396449E-3</v>
      </c>
    </row>
    <row r="21" spans="1:33" ht="15.75" thickBot="1" x14ac:dyDescent="0.3">
      <c r="A21" s="1">
        <v>15621083</v>
      </c>
      <c r="B21" s="1" t="s">
        <v>6</v>
      </c>
      <c r="C21" s="1">
        <v>48</v>
      </c>
      <c r="D21" s="1">
        <v>29000</v>
      </c>
      <c r="E21" s="1">
        <v>1</v>
      </c>
      <c r="G21" s="2" t="s">
        <v>14</v>
      </c>
      <c r="H21" s="5">
        <f>COUNTIFS(B2:B401, "Female", E2:E401, 1)</f>
        <v>77</v>
      </c>
      <c r="M21" s="16" t="s">
        <v>146</v>
      </c>
      <c r="N21" s="17"/>
      <c r="O21" s="18">
        <f>O18*(257/400)</f>
        <v>2.7383079229057208E-2</v>
      </c>
      <c r="AB21" s="16" t="s">
        <v>146</v>
      </c>
      <c r="AC21" s="17"/>
      <c r="AD21" s="18">
        <f>AD18*(257/400)</f>
        <v>5.1348771366712592E-2</v>
      </c>
    </row>
    <row r="22" spans="1:33" x14ac:dyDescent="0.25">
      <c r="A22" s="1">
        <v>15649487</v>
      </c>
      <c r="B22" s="1" t="s">
        <v>5</v>
      </c>
      <c r="C22" s="1">
        <v>45</v>
      </c>
      <c r="D22" s="1">
        <v>22000</v>
      </c>
      <c r="E22" s="1">
        <v>1</v>
      </c>
      <c r="G22" s="2" t="s">
        <v>15</v>
      </c>
      <c r="H22" s="5">
        <f>COUNTIFS(B2:B401, "Female", E2:E401, 0)</f>
        <v>127</v>
      </c>
    </row>
    <row r="23" spans="1:33" x14ac:dyDescent="0.25">
      <c r="A23" s="1">
        <v>15736760</v>
      </c>
      <c r="B23" s="1" t="s">
        <v>6</v>
      </c>
      <c r="C23" s="1">
        <v>47</v>
      </c>
      <c r="D23" s="1">
        <v>49000</v>
      </c>
      <c r="E23" s="1">
        <v>1</v>
      </c>
      <c r="G23" s="6" t="s">
        <v>9</v>
      </c>
      <c r="H23" s="7">
        <f>H21+H22</f>
        <v>204</v>
      </c>
      <c r="M23" s="15" t="s">
        <v>148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AB23" s="13" t="s">
        <v>155</v>
      </c>
      <c r="AC23" s="13"/>
      <c r="AD23" s="13"/>
      <c r="AE23" s="13"/>
      <c r="AF23" s="13"/>
      <c r="AG23" s="13"/>
    </row>
    <row r="24" spans="1:33" x14ac:dyDescent="0.25">
      <c r="A24" s="1">
        <v>15714658</v>
      </c>
      <c r="B24" s="1" t="s">
        <v>5</v>
      </c>
      <c r="C24" s="1">
        <v>48</v>
      </c>
      <c r="D24" s="1">
        <v>41000</v>
      </c>
      <c r="E24" s="1">
        <v>1</v>
      </c>
    </row>
    <row r="25" spans="1:33" x14ac:dyDescent="0.25">
      <c r="A25" s="1">
        <v>15599081</v>
      </c>
      <c r="B25" s="1" t="s">
        <v>6</v>
      </c>
      <c r="C25" s="1">
        <v>45</v>
      </c>
      <c r="D25" s="1">
        <v>22000</v>
      </c>
      <c r="E25" s="1">
        <v>1</v>
      </c>
    </row>
    <row r="26" spans="1:33" ht="15.75" thickBot="1" x14ac:dyDescent="0.3">
      <c r="A26" s="1">
        <v>15705113</v>
      </c>
      <c r="B26" s="1" t="s">
        <v>5</v>
      </c>
      <c r="C26" s="1">
        <v>46</v>
      </c>
      <c r="D26" s="1">
        <v>23000</v>
      </c>
      <c r="E26" s="1">
        <v>1</v>
      </c>
      <c r="G26" s="3" t="s">
        <v>16</v>
      </c>
      <c r="H26" s="4"/>
    </row>
    <row r="27" spans="1:33" x14ac:dyDescent="0.25">
      <c r="A27" s="1">
        <v>15631159</v>
      </c>
      <c r="B27" s="1" t="s">
        <v>5</v>
      </c>
      <c r="C27" s="1">
        <v>47</v>
      </c>
      <c r="D27" s="1">
        <v>20000</v>
      </c>
      <c r="E27" s="1">
        <v>1</v>
      </c>
      <c r="G27" s="2" t="str">
        <f>18 + (ROW(A1)-1)*7 &amp; "-" &amp; 24 + (ROW(A1)-1)*7</f>
        <v>18-24</v>
      </c>
      <c r="H27" s="5">
        <f>COUNTIFS(C:C, "&gt;=18", C:C, "&lt;=24")</f>
        <v>43</v>
      </c>
      <c r="J27" t="s">
        <v>18</v>
      </c>
      <c r="K27">
        <f>MIN(C2:C401)</f>
        <v>18</v>
      </c>
    </row>
    <row r="28" spans="1:33" x14ac:dyDescent="0.25">
      <c r="A28" s="1">
        <v>15792818</v>
      </c>
      <c r="B28" s="1" t="s">
        <v>5</v>
      </c>
      <c r="C28" s="1">
        <v>49</v>
      </c>
      <c r="D28" s="1">
        <v>28000</v>
      </c>
      <c r="E28" s="1">
        <v>1</v>
      </c>
      <c r="G28" s="2" t="str">
        <f t="shared" ref="G28:G33" si="0">18 + (ROW(A2)-1)*7 &amp; "-" &amp; 24 + (ROW(A2)-1)*7</f>
        <v>25-31</v>
      </c>
      <c r="H28" s="5">
        <f>COUNTIFS(C:C,"&gt;=25",C:C,"&lt;=31")</f>
        <v>79</v>
      </c>
      <c r="J28" t="s">
        <v>19</v>
      </c>
      <c r="K28">
        <f>MAX(C2:C401)</f>
        <v>60</v>
      </c>
    </row>
    <row r="29" spans="1:33" x14ac:dyDescent="0.25">
      <c r="A29" s="1">
        <v>15633531</v>
      </c>
      <c r="B29" s="1" t="s">
        <v>6</v>
      </c>
      <c r="C29" s="1">
        <v>47</v>
      </c>
      <c r="D29" s="1">
        <v>30000</v>
      </c>
      <c r="E29" s="1">
        <v>1</v>
      </c>
      <c r="G29" s="2" t="str">
        <f t="shared" si="0"/>
        <v>32-38</v>
      </c>
      <c r="H29" s="5">
        <f>COUNTIFS(C:C, "&gt;=32", C:C, "&lt;=38")</f>
        <v>101</v>
      </c>
    </row>
    <row r="30" spans="1:33" x14ac:dyDescent="0.25">
      <c r="A30" s="1">
        <v>15744529</v>
      </c>
      <c r="B30" s="1" t="s">
        <v>5</v>
      </c>
      <c r="C30" s="1">
        <v>29</v>
      </c>
      <c r="D30" s="1">
        <v>43000</v>
      </c>
      <c r="E30" s="1">
        <v>0</v>
      </c>
      <c r="G30" s="2" t="str">
        <f t="shared" si="0"/>
        <v>39-45</v>
      </c>
      <c r="H30" s="5">
        <f>COUNTIFS(C:C, "&gt;=39", C:C, "&lt;=45")</f>
        <v>74</v>
      </c>
    </row>
    <row r="31" spans="1:33" x14ac:dyDescent="0.25">
      <c r="A31" s="1">
        <v>15669656</v>
      </c>
      <c r="B31" s="1" t="s">
        <v>5</v>
      </c>
      <c r="C31" s="1">
        <v>31</v>
      </c>
      <c r="D31" s="1">
        <v>18000</v>
      </c>
      <c r="E31" s="1">
        <v>0</v>
      </c>
      <c r="G31" s="2" t="str">
        <f t="shared" si="0"/>
        <v>46-52</v>
      </c>
      <c r="H31" s="5">
        <f>COUNTIFS(C:C, "&gt;=46", C:C, "&lt;=52")</f>
        <v>63</v>
      </c>
    </row>
    <row r="32" spans="1:33" x14ac:dyDescent="0.25">
      <c r="A32" s="1">
        <v>15581198</v>
      </c>
      <c r="B32" s="1" t="s">
        <v>5</v>
      </c>
      <c r="C32" s="1">
        <v>31</v>
      </c>
      <c r="D32" s="1">
        <v>74000</v>
      </c>
      <c r="E32" s="1">
        <v>0</v>
      </c>
      <c r="G32" s="2" t="str">
        <f t="shared" si="0"/>
        <v>53-59</v>
      </c>
      <c r="H32" s="5">
        <f>COUNTIFS(C:C, "&gt;=53", C:C, "&lt;=59")</f>
        <v>33</v>
      </c>
    </row>
    <row r="33" spans="1:14" x14ac:dyDescent="0.25">
      <c r="A33" s="1">
        <v>15729054</v>
      </c>
      <c r="B33" s="1" t="s">
        <v>6</v>
      </c>
      <c r="C33" s="1">
        <v>27</v>
      </c>
      <c r="D33" s="1">
        <v>137000</v>
      </c>
      <c r="E33" s="1">
        <v>1</v>
      </c>
      <c r="G33" s="2" t="str">
        <f t="shared" si="0"/>
        <v>60-66</v>
      </c>
      <c r="H33" s="5">
        <f>COUNTIFS(C:C, "&gt;=60", C:C, "&lt;=66")</f>
        <v>7</v>
      </c>
    </row>
    <row r="34" spans="1:14" x14ac:dyDescent="0.25">
      <c r="A34" s="1">
        <v>15573452</v>
      </c>
      <c r="B34" s="1" t="s">
        <v>6</v>
      </c>
      <c r="C34" s="1">
        <v>21</v>
      </c>
      <c r="D34" s="1">
        <v>16000</v>
      </c>
      <c r="E34" s="1">
        <v>0</v>
      </c>
      <c r="G34" s="8" t="s">
        <v>17</v>
      </c>
      <c r="H34" s="9">
        <f>SUM(H27:H33)</f>
        <v>400</v>
      </c>
    </row>
    <row r="35" spans="1:14" x14ac:dyDescent="0.25">
      <c r="A35" s="1">
        <v>15776733</v>
      </c>
      <c r="B35" s="1" t="s">
        <v>6</v>
      </c>
      <c r="C35" s="1">
        <v>28</v>
      </c>
      <c r="D35" s="1">
        <v>44000</v>
      </c>
      <c r="E35" s="1">
        <v>0</v>
      </c>
    </row>
    <row r="36" spans="1:14" x14ac:dyDescent="0.25">
      <c r="A36" s="1">
        <v>15724858</v>
      </c>
      <c r="B36" s="1" t="s">
        <v>5</v>
      </c>
      <c r="C36" s="1">
        <v>27</v>
      </c>
      <c r="D36" s="1">
        <v>90000</v>
      </c>
      <c r="E36" s="1">
        <v>0</v>
      </c>
    </row>
    <row r="37" spans="1:14" ht="15.75" thickBot="1" x14ac:dyDescent="0.3">
      <c r="A37" s="1">
        <v>15713144</v>
      </c>
      <c r="B37" s="1" t="s">
        <v>5</v>
      </c>
      <c r="C37" s="1">
        <v>35</v>
      </c>
      <c r="D37" s="1">
        <v>27000</v>
      </c>
      <c r="E37" s="1">
        <v>0</v>
      </c>
      <c r="G37" s="3" t="s">
        <v>20</v>
      </c>
      <c r="H37" s="4"/>
      <c r="M37" t="s">
        <v>125</v>
      </c>
    </row>
    <row r="38" spans="1:14" x14ac:dyDescent="0.25">
      <c r="A38" s="1">
        <v>15690188</v>
      </c>
      <c r="B38" s="1" t="s">
        <v>6</v>
      </c>
      <c r="C38" s="1">
        <v>33</v>
      </c>
      <c r="D38" s="1">
        <v>28000</v>
      </c>
      <c r="E38" s="1">
        <v>0</v>
      </c>
      <c r="G38" s="2" t="str">
        <f>15000 + (ROW(A1)-1)*27000 &amp; " – " &amp; 15000 + (ROW(A1)-1)*27000 + 26999</f>
        <v>15000 – 41999</v>
      </c>
      <c r="H38" s="5">
        <f>COUNTIFS(D:D, "&gt;=15000", D:D, "&lt;=41999")</f>
        <v>90</v>
      </c>
      <c r="J38" t="s">
        <v>18</v>
      </c>
      <c r="K38">
        <f>MIN(D2:D401)</f>
        <v>15000</v>
      </c>
      <c r="M38" t="str">
        <f>15000 + (ROW(G1)-1)*27000 &amp; " – " &amp; 15000 + (ROW(G1)-1)*27000 + 26999</f>
        <v>15000 – 41999</v>
      </c>
      <c r="N38" t="s">
        <v>127</v>
      </c>
    </row>
    <row r="39" spans="1:14" x14ac:dyDescent="0.25">
      <c r="A39" s="1">
        <v>15689425</v>
      </c>
      <c r="B39" s="1" t="s">
        <v>5</v>
      </c>
      <c r="C39" s="1">
        <v>30</v>
      </c>
      <c r="D39" s="1">
        <v>49000</v>
      </c>
      <c r="E39" s="1">
        <v>0</v>
      </c>
      <c r="G39" s="2" t="str">
        <f t="shared" ref="G39:G43" si="1">15000 + (ROW(A2)-1)*27000 &amp; " – " &amp; 15000 + (ROW(A2)-1)*27000 + 26999</f>
        <v>42000 – 68999</v>
      </c>
      <c r="H39" s="5">
        <f>COUNTIFS(D:D, "&gt;=42000", D:D, "&lt;=68999")</f>
        <v>108</v>
      </c>
      <c r="J39" t="s">
        <v>19</v>
      </c>
      <c r="K39">
        <f>MAX(D2:D401)</f>
        <v>150000</v>
      </c>
      <c r="M39" t="str">
        <f t="shared" ref="M39:M43" si="2">15000 + (ROW(G2)-1)*27000 &amp; " – " &amp; 15000 + (ROW(G2)-1)*27000 + 26999</f>
        <v>42000 – 68999</v>
      </c>
      <c r="N39" t="s">
        <v>126</v>
      </c>
    </row>
    <row r="40" spans="1:14" x14ac:dyDescent="0.25">
      <c r="A40" s="1">
        <v>15671766</v>
      </c>
      <c r="B40" s="1" t="s">
        <v>6</v>
      </c>
      <c r="C40" s="1">
        <v>26</v>
      </c>
      <c r="D40" s="1">
        <v>72000</v>
      </c>
      <c r="E40" s="1">
        <v>0</v>
      </c>
      <c r="G40" s="2" t="str">
        <f t="shared" si="1"/>
        <v>69000 – 95999</v>
      </c>
      <c r="H40" s="5">
        <f>COUNTIFS(D:D, "&gt;=69000", D:D, "&lt;=95999")</f>
        <v>122</v>
      </c>
      <c r="M40" t="str">
        <f t="shared" si="2"/>
        <v>69000 – 95999</v>
      </c>
      <c r="N40" t="s">
        <v>128</v>
      </c>
    </row>
    <row r="41" spans="1:14" x14ac:dyDescent="0.25">
      <c r="A41" s="1">
        <v>15782806</v>
      </c>
      <c r="B41" s="1" t="s">
        <v>6</v>
      </c>
      <c r="C41" s="1">
        <v>27</v>
      </c>
      <c r="D41" s="1">
        <v>31000</v>
      </c>
      <c r="E41" s="1">
        <v>0</v>
      </c>
      <c r="G41" s="2" t="str">
        <f t="shared" si="1"/>
        <v>96000 – 122999</v>
      </c>
      <c r="H41" s="5">
        <f>COUNTIFS(D:D, "&gt;=96000", D:D, "&lt;=122999")</f>
        <v>41</v>
      </c>
      <c r="M41" t="str">
        <f t="shared" si="2"/>
        <v>96000 – 122999</v>
      </c>
      <c r="N41" t="s">
        <v>129</v>
      </c>
    </row>
    <row r="42" spans="1:14" x14ac:dyDescent="0.25">
      <c r="A42" s="1">
        <v>15764419</v>
      </c>
      <c r="B42" s="1" t="s">
        <v>6</v>
      </c>
      <c r="C42" s="1">
        <v>27</v>
      </c>
      <c r="D42" s="1">
        <v>17000</v>
      </c>
      <c r="E42" s="1">
        <v>0</v>
      </c>
      <c r="G42" s="2" t="str">
        <f t="shared" si="1"/>
        <v>123000 – 149999</v>
      </c>
      <c r="H42" s="5">
        <f>COUNTIFS(D:D, "&gt;=123000", D:D, "&lt;=149999")</f>
        <v>37</v>
      </c>
      <c r="M42" t="str">
        <f t="shared" si="2"/>
        <v>123000 – 149999</v>
      </c>
      <c r="N42" t="s">
        <v>130</v>
      </c>
    </row>
    <row r="43" spans="1:14" x14ac:dyDescent="0.25">
      <c r="A43" s="1">
        <v>15591915</v>
      </c>
      <c r="B43" s="1" t="s">
        <v>6</v>
      </c>
      <c r="C43" s="1">
        <v>33</v>
      </c>
      <c r="D43" s="1">
        <v>51000</v>
      </c>
      <c r="E43" s="1">
        <v>0</v>
      </c>
      <c r="G43" s="2" t="str">
        <f t="shared" si="1"/>
        <v>150000 – 176999</v>
      </c>
      <c r="H43" s="5">
        <f>COUNTIFS(D:D, "&gt;=150000", D:D, "&lt;=176999")</f>
        <v>2</v>
      </c>
      <c r="M43" t="str">
        <f t="shared" si="2"/>
        <v>150000 – 176999</v>
      </c>
      <c r="N43" t="s">
        <v>131</v>
      </c>
    </row>
    <row r="44" spans="1:14" x14ac:dyDescent="0.25">
      <c r="A44" s="1">
        <v>15772798</v>
      </c>
      <c r="B44" s="1" t="s">
        <v>5</v>
      </c>
      <c r="C44" s="1">
        <v>35</v>
      </c>
      <c r="D44" s="1">
        <v>108000</v>
      </c>
      <c r="E44" s="1">
        <v>0</v>
      </c>
      <c r="G44" s="8" t="s">
        <v>9</v>
      </c>
      <c r="H44" s="9">
        <f>SUM(H38:H43)</f>
        <v>400</v>
      </c>
    </row>
    <row r="45" spans="1:14" x14ac:dyDescent="0.25">
      <c r="A45" s="1">
        <v>15792008</v>
      </c>
      <c r="B45" s="1" t="s">
        <v>5</v>
      </c>
      <c r="C45" s="1">
        <v>30</v>
      </c>
      <c r="D45" s="1">
        <v>15000</v>
      </c>
      <c r="E45" s="1">
        <v>0</v>
      </c>
    </row>
    <row r="46" spans="1:14" x14ac:dyDescent="0.25">
      <c r="A46" s="1">
        <v>15715541</v>
      </c>
      <c r="B46" s="1" t="s">
        <v>6</v>
      </c>
      <c r="C46" s="1">
        <v>28</v>
      </c>
      <c r="D46" s="1">
        <v>84000</v>
      </c>
      <c r="E46" s="1">
        <v>0</v>
      </c>
    </row>
    <row r="47" spans="1:14" x14ac:dyDescent="0.25">
      <c r="A47" s="1">
        <v>15639277</v>
      </c>
      <c r="B47" s="1" t="s">
        <v>5</v>
      </c>
      <c r="C47" s="1">
        <v>23</v>
      </c>
      <c r="D47" s="1">
        <v>20000</v>
      </c>
      <c r="E47" s="1">
        <v>0</v>
      </c>
      <c r="G47" s="11" t="s">
        <v>35</v>
      </c>
    </row>
    <row r="48" spans="1:14" x14ac:dyDescent="0.25">
      <c r="A48" s="1">
        <v>15798850</v>
      </c>
      <c r="B48" s="1" t="s">
        <v>5</v>
      </c>
      <c r="C48" s="1">
        <v>25</v>
      </c>
      <c r="D48" s="1">
        <v>79000</v>
      </c>
      <c r="E48" s="1">
        <v>0</v>
      </c>
    </row>
    <row r="49" spans="1:8" x14ac:dyDescent="0.25">
      <c r="A49" s="1">
        <v>15776348</v>
      </c>
      <c r="B49" s="1" t="s">
        <v>6</v>
      </c>
      <c r="C49" s="1">
        <v>27</v>
      </c>
      <c r="D49" s="1">
        <v>54000</v>
      </c>
      <c r="E49" s="1">
        <v>0</v>
      </c>
      <c r="G49" s="10" t="s">
        <v>23</v>
      </c>
      <c r="H49" s="10">
        <f>COUNTIFS(B:B, "Male", C:C, "&lt;=30", D:D, "&gt;=15000", D:D, "&lt;=42000", E:E, "1")</f>
        <v>0</v>
      </c>
    </row>
    <row r="50" spans="1:8" x14ac:dyDescent="0.25">
      <c r="A50" s="1">
        <v>15727696</v>
      </c>
      <c r="B50" s="1" t="s">
        <v>5</v>
      </c>
      <c r="C50" s="1">
        <v>30</v>
      </c>
      <c r="D50" s="1">
        <v>135000</v>
      </c>
      <c r="E50" s="1">
        <v>1</v>
      </c>
      <c r="G50" s="10" t="s">
        <v>24</v>
      </c>
      <c r="H50" s="10">
        <f>COUNTIFS(B:B, "Male", C:C, "&lt;=30", D:D, "&gt;=15000", D:D, "&lt;=42000", E:E, "0")</f>
        <v>16</v>
      </c>
    </row>
    <row r="51" spans="1:8" x14ac:dyDescent="0.25">
      <c r="A51" s="1">
        <v>15793813</v>
      </c>
      <c r="B51" s="1" t="s">
        <v>6</v>
      </c>
      <c r="C51" s="1">
        <v>31</v>
      </c>
      <c r="D51" s="1">
        <v>89000</v>
      </c>
      <c r="E51" s="1">
        <v>0</v>
      </c>
    </row>
    <row r="52" spans="1:8" x14ac:dyDescent="0.25">
      <c r="A52" s="1">
        <v>15694395</v>
      </c>
      <c r="B52" s="1" t="s">
        <v>6</v>
      </c>
      <c r="C52" s="1">
        <v>24</v>
      </c>
      <c r="D52" s="1">
        <v>32000</v>
      </c>
      <c r="E52" s="1">
        <v>0</v>
      </c>
    </row>
    <row r="53" spans="1:8" x14ac:dyDescent="0.25">
      <c r="A53" s="1">
        <v>15764195</v>
      </c>
      <c r="B53" s="1" t="s">
        <v>6</v>
      </c>
      <c r="C53" s="1">
        <v>18</v>
      </c>
      <c r="D53" s="1">
        <v>44000</v>
      </c>
      <c r="E53" s="1">
        <v>0</v>
      </c>
      <c r="G53" s="10" t="s">
        <v>21</v>
      </c>
      <c r="H53" s="10">
        <f>COUNTIFS(B:B, "Male", C:C, "&lt;=30", D:D, "&gt;=42000", D:D, "&lt;=68999", E:E, "1")</f>
        <v>0</v>
      </c>
    </row>
    <row r="54" spans="1:8" x14ac:dyDescent="0.25">
      <c r="A54" s="1">
        <v>15744919</v>
      </c>
      <c r="B54" s="1" t="s">
        <v>6</v>
      </c>
      <c r="C54" s="1">
        <v>29</v>
      </c>
      <c r="D54" s="1">
        <v>83000</v>
      </c>
      <c r="E54" s="1">
        <v>0</v>
      </c>
      <c r="G54" s="10" t="s">
        <v>22</v>
      </c>
      <c r="H54" s="10">
        <f>COUNTIFS(B:B, "Male", C:C, "&lt;=30", D:D, "&gt;=42000", D:D, "&lt;=68999", E:E, "0")</f>
        <v>11</v>
      </c>
    </row>
    <row r="55" spans="1:8" x14ac:dyDescent="0.25">
      <c r="A55" s="1">
        <v>15671655</v>
      </c>
      <c r="B55" s="1" t="s">
        <v>6</v>
      </c>
      <c r="C55" s="1">
        <v>35</v>
      </c>
      <c r="D55" s="1">
        <v>23000</v>
      </c>
      <c r="E55" s="1">
        <v>0</v>
      </c>
    </row>
    <row r="56" spans="1:8" x14ac:dyDescent="0.25">
      <c r="A56" s="1">
        <v>15654901</v>
      </c>
      <c r="B56" s="1" t="s">
        <v>6</v>
      </c>
      <c r="C56" s="1">
        <v>27</v>
      </c>
      <c r="D56" s="1">
        <v>58000</v>
      </c>
      <c r="E56" s="1">
        <v>0</v>
      </c>
    </row>
    <row r="57" spans="1:8" x14ac:dyDescent="0.25">
      <c r="A57" s="1">
        <v>15649136</v>
      </c>
      <c r="B57" s="1" t="s">
        <v>6</v>
      </c>
      <c r="C57" s="1">
        <v>24</v>
      </c>
      <c r="D57" s="1">
        <v>55000</v>
      </c>
      <c r="E57" s="1">
        <v>0</v>
      </c>
      <c r="G57" s="10" t="s">
        <v>25</v>
      </c>
      <c r="H57" s="10">
        <f>COUNTIFS(B:B, "Male", C:C, "&lt;=30", D:D, "&gt;=69000", D:D, "&lt;=95999", E:E, "1")</f>
        <v>0</v>
      </c>
    </row>
    <row r="58" spans="1:8" x14ac:dyDescent="0.25">
      <c r="A58" s="1">
        <v>15775562</v>
      </c>
      <c r="B58" s="1" t="s">
        <v>6</v>
      </c>
      <c r="C58" s="1">
        <v>23</v>
      </c>
      <c r="D58" s="1">
        <v>48000</v>
      </c>
      <c r="E58" s="1">
        <v>0</v>
      </c>
      <c r="G58" s="10" t="s">
        <v>26</v>
      </c>
      <c r="H58" s="10">
        <f>COUNTIFS(B:B, "Male", C:C, "&lt;=30", D:D, "&gt;=69000", D:D, "&lt;=95999", E:E, "0")</f>
        <v>27</v>
      </c>
    </row>
    <row r="59" spans="1:8" x14ac:dyDescent="0.25">
      <c r="A59" s="1">
        <v>15807481</v>
      </c>
      <c r="B59" s="1" t="s">
        <v>5</v>
      </c>
      <c r="C59" s="1">
        <v>28</v>
      </c>
      <c r="D59" s="1">
        <v>79000</v>
      </c>
      <c r="E59" s="1">
        <v>0</v>
      </c>
    </row>
    <row r="60" spans="1:8" x14ac:dyDescent="0.25">
      <c r="A60" s="1">
        <v>15642885</v>
      </c>
      <c r="B60" s="1" t="s">
        <v>5</v>
      </c>
      <c r="C60" s="1">
        <v>22</v>
      </c>
      <c r="D60" s="1">
        <v>18000</v>
      </c>
      <c r="E60" s="1">
        <v>0</v>
      </c>
    </row>
    <row r="61" spans="1:8" x14ac:dyDescent="0.25">
      <c r="A61" s="1">
        <v>15789109</v>
      </c>
      <c r="B61" s="1" t="s">
        <v>6</v>
      </c>
      <c r="C61" s="1">
        <v>32</v>
      </c>
      <c r="D61" s="1">
        <v>117000</v>
      </c>
      <c r="E61" s="1">
        <v>0</v>
      </c>
      <c r="G61" s="10" t="s">
        <v>27</v>
      </c>
      <c r="H61" s="10">
        <f>COUNTIFS(B:B, "Male", C:C, "&lt;=30", D:D, "&gt;=96000", D:D, "&lt;=122999", E:E, "1")</f>
        <v>1</v>
      </c>
    </row>
    <row r="62" spans="1:8" x14ac:dyDescent="0.25">
      <c r="A62" s="1">
        <v>15814004</v>
      </c>
      <c r="B62" s="1" t="s">
        <v>5</v>
      </c>
      <c r="C62" s="1">
        <v>27</v>
      </c>
      <c r="D62" s="1">
        <v>20000</v>
      </c>
      <c r="E62" s="1">
        <v>0</v>
      </c>
      <c r="G62" s="10" t="s">
        <v>28</v>
      </c>
      <c r="H62" s="10">
        <f>COUNTIFS(B:B, "Male", C:C, "&lt;=30", D:D, "&gt;=96000", D:D, "&lt;=122999", E:E, "0")</f>
        <v>0</v>
      </c>
    </row>
    <row r="63" spans="1:8" x14ac:dyDescent="0.25">
      <c r="A63" s="1">
        <v>15673619</v>
      </c>
      <c r="B63" s="1" t="s">
        <v>5</v>
      </c>
      <c r="C63" s="1">
        <v>25</v>
      </c>
      <c r="D63" s="1">
        <v>87000</v>
      </c>
      <c r="E63" s="1">
        <v>0</v>
      </c>
    </row>
    <row r="64" spans="1:8" x14ac:dyDescent="0.25">
      <c r="A64" s="1">
        <v>15595135</v>
      </c>
      <c r="B64" s="1" t="s">
        <v>6</v>
      </c>
      <c r="C64" s="1">
        <v>23</v>
      </c>
      <c r="D64" s="1">
        <v>66000</v>
      </c>
      <c r="E64" s="1">
        <v>0</v>
      </c>
    </row>
    <row r="65" spans="1:8" x14ac:dyDescent="0.25">
      <c r="A65" s="1">
        <v>15583681</v>
      </c>
      <c r="B65" s="1" t="s">
        <v>5</v>
      </c>
      <c r="C65" s="1">
        <v>32</v>
      </c>
      <c r="D65" s="1">
        <v>120000</v>
      </c>
      <c r="E65" s="1">
        <v>1</v>
      </c>
      <c r="G65" s="10" t="s">
        <v>29</v>
      </c>
      <c r="H65" s="10">
        <f>COUNTIFS(B:B, "Male", C:C, "&lt;=30", D:D, "&gt;=123000", D:D, "&lt;=149999", E:E, "1")</f>
        <v>3</v>
      </c>
    </row>
    <row r="66" spans="1:8" x14ac:dyDescent="0.25">
      <c r="A66" s="1">
        <v>15605000</v>
      </c>
      <c r="B66" s="1" t="s">
        <v>6</v>
      </c>
      <c r="C66" s="1">
        <v>59</v>
      </c>
      <c r="D66" s="1">
        <v>83000</v>
      </c>
      <c r="E66" s="1">
        <v>0</v>
      </c>
      <c r="G66" s="10" t="s">
        <v>30</v>
      </c>
      <c r="H66" s="10">
        <f>COUNTIFS(B:B, "Male", C:C, "&lt;=30", D:D, "&gt;=123000", D:D, "&lt;=149999", E:E, "1")</f>
        <v>3</v>
      </c>
    </row>
    <row r="67" spans="1:8" x14ac:dyDescent="0.25">
      <c r="A67" s="1">
        <v>15718071</v>
      </c>
      <c r="B67" s="1" t="s">
        <v>5</v>
      </c>
      <c r="C67" s="1">
        <v>24</v>
      </c>
      <c r="D67" s="1">
        <v>58000</v>
      </c>
      <c r="E67" s="1">
        <v>0</v>
      </c>
    </row>
    <row r="68" spans="1:8" x14ac:dyDescent="0.25">
      <c r="A68" s="1">
        <v>15679760</v>
      </c>
      <c r="B68" s="1" t="s">
        <v>5</v>
      </c>
      <c r="C68" s="1">
        <v>24</v>
      </c>
      <c r="D68" s="1">
        <v>19000</v>
      </c>
      <c r="E68" s="1">
        <v>0</v>
      </c>
    </row>
    <row r="69" spans="1:8" x14ac:dyDescent="0.25">
      <c r="A69" s="1">
        <v>15654574</v>
      </c>
      <c r="B69" s="1" t="s">
        <v>6</v>
      </c>
      <c r="C69" s="1">
        <v>23</v>
      </c>
      <c r="D69" s="1">
        <v>82000</v>
      </c>
      <c r="E69" s="1">
        <v>0</v>
      </c>
      <c r="G69" s="10" t="s">
        <v>31</v>
      </c>
      <c r="H69" s="10">
        <f>COUNTIFS(B:B, "Male", C:C, "&lt;=30", D:D, "&gt;=150000", D:D, "&lt;=176999", E:E, "1")</f>
        <v>0</v>
      </c>
    </row>
    <row r="70" spans="1:8" x14ac:dyDescent="0.25">
      <c r="A70" s="1">
        <v>15577178</v>
      </c>
      <c r="B70" s="1" t="s">
        <v>6</v>
      </c>
      <c r="C70" s="1">
        <v>22</v>
      </c>
      <c r="D70" s="1">
        <v>63000</v>
      </c>
      <c r="E70" s="1">
        <v>0</v>
      </c>
      <c r="G70" s="10" t="s">
        <v>32</v>
      </c>
      <c r="H70" s="10">
        <f>COUNTIFS(B:B, "Male", C:C, "&lt;=30", D:D, "&gt;=123000", D:D, "&lt;=149999", E:E, "0")</f>
        <v>0</v>
      </c>
    </row>
    <row r="71" spans="1:8" x14ac:dyDescent="0.25">
      <c r="A71" s="1">
        <v>15595324</v>
      </c>
      <c r="B71" s="1" t="s">
        <v>6</v>
      </c>
      <c r="C71" s="1">
        <v>31</v>
      </c>
      <c r="D71" s="1">
        <v>68000</v>
      </c>
      <c r="E71" s="1">
        <v>0</v>
      </c>
    </row>
    <row r="72" spans="1:8" x14ac:dyDescent="0.25">
      <c r="A72" s="1">
        <v>15756932</v>
      </c>
      <c r="B72" s="1" t="s">
        <v>5</v>
      </c>
      <c r="C72" s="1">
        <v>25</v>
      </c>
      <c r="D72" s="1">
        <v>80000</v>
      </c>
      <c r="E72" s="1">
        <v>0</v>
      </c>
    </row>
    <row r="73" spans="1:8" x14ac:dyDescent="0.25">
      <c r="A73" s="1">
        <v>15726358</v>
      </c>
      <c r="B73" s="1" t="s">
        <v>6</v>
      </c>
      <c r="C73" s="1">
        <v>24</v>
      </c>
      <c r="D73" s="1">
        <v>27000</v>
      </c>
      <c r="E73" s="1">
        <v>0</v>
      </c>
      <c r="G73" s="11" t="s">
        <v>36</v>
      </c>
    </row>
    <row r="74" spans="1:8" x14ac:dyDescent="0.25">
      <c r="A74" s="1">
        <v>15595228</v>
      </c>
      <c r="B74" s="1" t="s">
        <v>6</v>
      </c>
      <c r="C74" s="1">
        <v>20</v>
      </c>
      <c r="D74" s="1">
        <v>23000</v>
      </c>
      <c r="E74" s="1">
        <v>0</v>
      </c>
    </row>
    <row r="75" spans="1:8" x14ac:dyDescent="0.25">
      <c r="A75" s="1">
        <v>15782530</v>
      </c>
      <c r="B75" s="1" t="s">
        <v>6</v>
      </c>
      <c r="C75" s="1">
        <v>33</v>
      </c>
      <c r="D75" s="1">
        <v>113000</v>
      </c>
      <c r="E75" s="1">
        <v>0</v>
      </c>
      <c r="G75" s="10" t="s">
        <v>33</v>
      </c>
      <c r="H75" s="10">
        <f>COUNTIFS(B:B, "Male", C:C, "&gt;=31", C:C, "&lt;=40", D:D, "&gt;=15000", D:D, "&lt;=41999", E:E, "1")</f>
        <v>0</v>
      </c>
    </row>
    <row r="76" spans="1:8" x14ac:dyDescent="0.25">
      <c r="A76" s="1">
        <v>15592877</v>
      </c>
      <c r="B76" s="1" t="s">
        <v>5</v>
      </c>
      <c r="C76" s="1">
        <v>32</v>
      </c>
      <c r="D76" s="1">
        <v>18000</v>
      </c>
      <c r="E76" s="1">
        <v>0</v>
      </c>
      <c r="G76" s="10" t="s">
        <v>34</v>
      </c>
      <c r="H76" s="10">
        <f>COUNTIFS(B:B, "Male", C:C, "&gt;=31", C:C, "&lt;=40", D:D, "&gt;=15000", D:D, "&lt;=41999", E:E, "0")</f>
        <v>10</v>
      </c>
    </row>
    <row r="77" spans="1:8" x14ac:dyDescent="0.25">
      <c r="A77" s="1">
        <v>15651983</v>
      </c>
      <c r="B77" s="1" t="s">
        <v>5</v>
      </c>
      <c r="C77" s="1">
        <v>34</v>
      </c>
      <c r="D77" s="1">
        <v>112000</v>
      </c>
      <c r="E77" s="1">
        <v>1</v>
      </c>
    </row>
    <row r="78" spans="1:8" x14ac:dyDescent="0.25">
      <c r="A78" s="1">
        <v>15746737</v>
      </c>
      <c r="B78" s="1" t="s">
        <v>5</v>
      </c>
      <c r="C78" s="1">
        <v>18</v>
      </c>
      <c r="D78" s="1">
        <v>52000</v>
      </c>
      <c r="E78" s="1">
        <v>0</v>
      </c>
    </row>
    <row r="79" spans="1:8" x14ac:dyDescent="0.25">
      <c r="A79" s="1">
        <v>15774179</v>
      </c>
      <c r="B79" s="1" t="s">
        <v>6</v>
      </c>
      <c r="C79" s="1">
        <v>22</v>
      </c>
      <c r="D79" s="1">
        <v>27000</v>
      </c>
      <c r="E79" s="1">
        <v>0</v>
      </c>
      <c r="G79" s="10" t="s">
        <v>37</v>
      </c>
      <c r="H79" s="10">
        <f>COUNTIFS(B:B, "Male", C:C, "&gt;=31", C:C, "&lt;=40", D:D, "&gt;=42000", D:D, "&lt;=68999", E:E, "1")</f>
        <v>0</v>
      </c>
    </row>
    <row r="80" spans="1:8" x14ac:dyDescent="0.25">
      <c r="A80" s="1">
        <v>15667265</v>
      </c>
      <c r="B80" s="1" t="s">
        <v>6</v>
      </c>
      <c r="C80" s="1">
        <v>28</v>
      </c>
      <c r="D80" s="1">
        <v>87000</v>
      </c>
      <c r="E80" s="1">
        <v>0</v>
      </c>
      <c r="G80" s="10" t="s">
        <v>38</v>
      </c>
      <c r="H80" s="10">
        <f>COUNTIFS(B:B, "Male", C:C, "&gt;=31", C:C, "&lt;=40", D:D, "&gt;=42000", D:D, "&lt;=68999", E:E, "0")</f>
        <v>28</v>
      </c>
    </row>
    <row r="81" spans="1:8" x14ac:dyDescent="0.25">
      <c r="A81" s="1">
        <v>15655123</v>
      </c>
      <c r="B81" s="1" t="s">
        <v>6</v>
      </c>
      <c r="C81" s="1">
        <v>26</v>
      </c>
      <c r="D81" s="1">
        <v>17000</v>
      </c>
      <c r="E81" s="1">
        <v>0</v>
      </c>
    </row>
    <row r="82" spans="1:8" x14ac:dyDescent="0.25">
      <c r="A82" s="1">
        <v>15595917</v>
      </c>
      <c r="B82" s="1" t="s">
        <v>5</v>
      </c>
      <c r="C82" s="1">
        <v>30</v>
      </c>
      <c r="D82" s="1">
        <v>80000</v>
      </c>
      <c r="E82" s="1">
        <v>0</v>
      </c>
    </row>
    <row r="83" spans="1:8" x14ac:dyDescent="0.25">
      <c r="A83" s="1">
        <v>15668385</v>
      </c>
      <c r="B83" s="1" t="s">
        <v>5</v>
      </c>
      <c r="C83" s="1">
        <v>39</v>
      </c>
      <c r="D83" s="1">
        <v>42000</v>
      </c>
      <c r="E83" s="1">
        <v>0</v>
      </c>
      <c r="G83" s="10" t="s">
        <v>39</v>
      </c>
      <c r="H83" s="10">
        <f>COUNTIFS(B:B, "Male", C:C, "&gt;=31", C:C, "&lt;=40", D:D, "&gt;=69000", D:D, "&lt;=95999", E:E, "1")</f>
        <v>4</v>
      </c>
    </row>
    <row r="84" spans="1:8" x14ac:dyDescent="0.25">
      <c r="A84" s="1">
        <v>15709476</v>
      </c>
      <c r="B84" s="1" t="s">
        <v>5</v>
      </c>
      <c r="C84" s="1">
        <v>20</v>
      </c>
      <c r="D84" s="1">
        <v>49000</v>
      </c>
      <c r="E84" s="1">
        <v>0</v>
      </c>
      <c r="G84" s="10" t="s">
        <v>40</v>
      </c>
      <c r="H84" s="10">
        <f>COUNTIFS(B:B, "Male", C:C, "&gt;=31", C:C, "&lt;=40", D:D, "&gt;=69000", D:D, "&lt;=95999", E:E, "0")</f>
        <v>18</v>
      </c>
    </row>
    <row r="85" spans="1:8" x14ac:dyDescent="0.25">
      <c r="A85" s="1">
        <v>15711218</v>
      </c>
      <c r="B85" s="1" t="s">
        <v>5</v>
      </c>
      <c r="C85" s="1">
        <v>35</v>
      </c>
      <c r="D85" s="1">
        <v>88000</v>
      </c>
      <c r="E85" s="1">
        <v>0</v>
      </c>
    </row>
    <row r="86" spans="1:8" x14ac:dyDescent="0.25">
      <c r="A86" s="1">
        <v>15798659</v>
      </c>
      <c r="B86" s="1" t="s">
        <v>6</v>
      </c>
      <c r="C86" s="1">
        <v>30</v>
      </c>
      <c r="D86" s="1">
        <v>62000</v>
      </c>
      <c r="E86" s="1">
        <v>0</v>
      </c>
    </row>
    <row r="87" spans="1:8" x14ac:dyDescent="0.25">
      <c r="A87" s="1">
        <v>15663939</v>
      </c>
      <c r="B87" s="1" t="s">
        <v>6</v>
      </c>
      <c r="C87" s="1">
        <v>31</v>
      </c>
      <c r="D87" s="1">
        <v>118000</v>
      </c>
      <c r="E87" s="1">
        <v>1</v>
      </c>
      <c r="G87" s="10" t="s">
        <v>41</v>
      </c>
      <c r="H87" s="10">
        <f>COUNTIFS(B:B, "Male", C:C, "&gt;=31", C:C, "&lt;=40", D:D, "&gt;=96000", D:D, "&lt;=122999", E:E, "1")</f>
        <v>9</v>
      </c>
    </row>
    <row r="88" spans="1:8" x14ac:dyDescent="0.25">
      <c r="A88" s="1">
        <v>15694946</v>
      </c>
      <c r="B88" s="1" t="s">
        <v>5</v>
      </c>
      <c r="C88" s="1">
        <v>24</v>
      </c>
      <c r="D88" s="1">
        <v>55000</v>
      </c>
      <c r="E88" s="1">
        <v>0</v>
      </c>
      <c r="G88" s="10" t="s">
        <v>42</v>
      </c>
      <c r="H88" s="10">
        <f>COUNTIFS(B:B, "Male", C:C, "&gt;=31", C:C, "&lt;=40", D:D, "&gt;=96000", D:D, "&lt;=122999", E:E, "0")</f>
        <v>2</v>
      </c>
    </row>
    <row r="89" spans="1:8" x14ac:dyDescent="0.25">
      <c r="A89" s="1">
        <v>15631912</v>
      </c>
      <c r="B89" s="1" t="s">
        <v>6</v>
      </c>
      <c r="C89" s="1">
        <v>28</v>
      </c>
      <c r="D89" s="1">
        <v>85000</v>
      </c>
      <c r="E89" s="1">
        <v>0</v>
      </c>
    </row>
    <row r="90" spans="1:8" x14ac:dyDescent="0.25">
      <c r="A90" s="1">
        <v>15768816</v>
      </c>
      <c r="B90" s="1" t="s">
        <v>5</v>
      </c>
      <c r="C90" s="1">
        <v>26</v>
      </c>
      <c r="D90" s="1">
        <v>81000</v>
      </c>
      <c r="E90" s="1">
        <v>0</v>
      </c>
    </row>
    <row r="91" spans="1:8" x14ac:dyDescent="0.25">
      <c r="A91" s="1">
        <v>15682268</v>
      </c>
      <c r="B91" s="1" t="s">
        <v>5</v>
      </c>
      <c r="C91" s="1">
        <v>35</v>
      </c>
      <c r="D91" s="1">
        <v>50000</v>
      </c>
      <c r="E91" s="1">
        <v>0</v>
      </c>
      <c r="G91" s="10" t="s">
        <v>43</v>
      </c>
      <c r="H91" s="10">
        <f>COUNTIFS(B:B, "Male", C:C, "&gt;=31", C:C, "&lt;=40", D:D, "&gt;=123000", D:D, "&lt;=149999", E:E, "1")</f>
        <v>4</v>
      </c>
    </row>
    <row r="92" spans="1:8" x14ac:dyDescent="0.25">
      <c r="A92" s="1">
        <v>15684801</v>
      </c>
      <c r="B92" s="1" t="s">
        <v>5</v>
      </c>
      <c r="C92" s="1">
        <v>22</v>
      </c>
      <c r="D92" s="1">
        <v>81000</v>
      </c>
      <c r="E92" s="1">
        <v>0</v>
      </c>
      <c r="G92" s="10" t="s">
        <v>44</v>
      </c>
      <c r="H92" s="10">
        <f>COUNTIFS(B:B, "Male", C:C, "&gt;=31", C:C, "&lt;=40", D:D, "&gt;=123000", D:D, "&lt;=149999", E:E, "0")</f>
        <v>0</v>
      </c>
    </row>
    <row r="93" spans="1:8" x14ac:dyDescent="0.25">
      <c r="A93" s="1">
        <v>15636428</v>
      </c>
      <c r="B93" s="1" t="s">
        <v>6</v>
      </c>
      <c r="C93" s="1">
        <v>30</v>
      </c>
      <c r="D93" s="1">
        <v>116000</v>
      </c>
      <c r="E93" s="1">
        <v>0</v>
      </c>
    </row>
    <row r="94" spans="1:8" x14ac:dyDescent="0.25">
      <c r="A94" s="1">
        <v>15809823</v>
      </c>
      <c r="B94" s="1" t="s">
        <v>5</v>
      </c>
      <c r="C94" s="1">
        <v>26</v>
      </c>
      <c r="D94" s="1">
        <v>15000</v>
      </c>
      <c r="E94" s="1">
        <v>0</v>
      </c>
    </row>
    <row r="95" spans="1:8" x14ac:dyDescent="0.25">
      <c r="A95" s="1">
        <v>15699284</v>
      </c>
      <c r="B95" s="1" t="s">
        <v>6</v>
      </c>
      <c r="C95" s="1">
        <v>29</v>
      </c>
      <c r="D95" s="1">
        <v>28000</v>
      </c>
      <c r="E95" s="1">
        <v>0</v>
      </c>
      <c r="G95" s="10" t="s">
        <v>45</v>
      </c>
      <c r="H95" s="10">
        <f>COUNTIFS(B:B, "Male", C:C, "&gt;=31", C:C, "&lt;=40", D:D, "&gt;=150000", D:D, "&lt;=176999", E:E, "1")</f>
        <v>0</v>
      </c>
    </row>
    <row r="96" spans="1:8" x14ac:dyDescent="0.25">
      <c r="A96" s="1">
        <v>15786993</v>
      </c>
      <c r="B96" s="1" t="s">
        <v>6</v>
      </c>
      <c r="C96" s="1">
        <v>29</v>
      </c>
      <c r="D96" s="1">
        <v>83000</v>
      </c>
      <c r="E96" s="1">
        <v>0</v>
      </c>
      <c r="G96" s="10" t="s">
        <v>46</v>
      </c>
      <c r="H96" s="10">
        <f>COUNTIFS(B:B, "Male", C:C, "&gt;=31", C:C, "&lt;=40", D:D, "&gt;=150000", D:D, "&lt;=176999", E:E, "0")</f>
        <v>0</v>
      </c>
    </row>
    <row r="97" spans="1:8" x14ac:dyDescent="0.25">
      <c r="A97" s="1">
        <v>15709441</v>
      </c>
      <c r="B97" s="1" t="s">
        <v>6</v>
      </c>
      <c r="C97" s="1">
        <v>35</v>
      </c>
      <c r="D97" s="1">
        <v>44000</v>
      </c>
      <c r="E97" s="1">
        <v>0</v>
      </c>
    </row>
    <row r="98" spans="1:8" x14ac:dyDescent="0.25">
      <c r="A98" s="1">
        <v>15710257</v>
      </c>
      <c r="B98" s="1" t="s">
        <v>6</v>
      </c>
      <c r="C98" s="1">
        <v>35</v>
      </c>
      <c r="D98" s="1">
        <v>25000</v>
      </c>
      <c r="E98" s="1">
        <v>0</v>
      </c>
    </row>
    <row r="99" spans="1:8" x14ac:dyDescent="0.25">
      <c r="A99" s="1">
        <v>15582492</v>
      </c>
      <c r="B99" s="1" t="s">
        <v>5</v>
      </c>
      <c r="C99" s="1">
        <v>28</v>
      </c>
      <c r="D99" s="1">
        <v>123000</v>
      </c>
      <c r="E99" s="1">
        <v>1</v>
      </c>
      <c r="G99" s="11" t="s">
        <v>47</v>
      </c>
    </row>
    <row r="100" spans="1:8" x14ac:dyDescent="0.25">
      <c r="A100" s="1">
        <v>15575694</v>
      </c>
      <c r="B100" s="1" t="s">
        <v>5</v>
      </c>
      <c r="C100" s="1">
        <v>35</v>
      </c>
      <c r="D100" s="1">
        <v>73000</v>
      </c>
      <c r="E100" s="1">
        <v>0</v>
      </c>
    </row>
    <row r="101" spans="1:8" x14ac:dyDescent="0.25">
      <c r="A101" s="1">
        <v>15756820</v>
      </c>
      <c r="B101" s="1" t="s">
        <v>6</v>
      </c>
      <c r="C101" s="1">
        <v>28</v>
      </c>
      <c r="D101" s="1">
        <v>37000</v>
      </c>
      <c r="E101" s="1">
        <v>0</v>
      </c>
      <c r="G101" s="10" t="s">
        <v>48</v>
      </c>
      <c r="H101" s="10">
        <f>COUNTIFS(B:B, "Male", C:C, "&gt;=41", C:C, "&lt;=50", D:D, "&gt;=15000", D:D, "&lt;=41999", E:E, "1")</f>
        <v>14</v>
      </c>
    </row>
    <row r="102" spans="1:8" x14ac:dyDescent="0.25">
      <c r="A102" s="1">
        <v>15766289</v>
      </c>
      <c r="B102" s="1" t="s">
        <v>5</v>
      </c>
      <c r="C102" s="1">
        <v>27</v>
      </c>
      <c r="D102" s="1">
        <v>88000</v>
      </c>
      <c r="E102" s="1">
        <v>0</v>
      </c>
      <c r="G102" s="10" t="s">
        <v>49</v>
      </c>
      <c r="H102" s="10">
        <f>COUNTIFS(B:B, "Male", C:C, "&gt;=41", C:C, "&lt;=50", D:D, "&gt;=15000", D:D, "&lt;=41999", E:E, "0")</f>
        <v>0</v>
      </c>
    </row>
    <row r="103" spans="1:8" x14ac:dyDescent="0.25">
      <c r="A103" s="1">
        <v>15593014</v>
      </c>
      <c r="B103" s="1" t="s">
        <v>5</v>
      </c>
      <c r="C103" s="1">
        <v>28</v>
      </c>
      <c r="D103" s="1">
        <v>59000</v>
      </c>
      <c r="E103" s="1">
        <v>0</v>
      </c>
    </row>
    <row r="104" spans="1:8" x14ac:dyDescent="0.25">
      <c r="A104" s="1">
        <v>15584545</v>
      </c>
      <c r="B104" s="1" t="s">
        <v>6</v>
      </c>
      <c r="C104" s="1">
        <v>32</v>
      </c>
      <c r="D104" s="1">
        <v>86000</v>
      </c>
      <c r="E104" s="1">
        <v>0</v>
      </c>
    </row>
    <row r="105" spans="1:8" x14ac:dyDescent="0.25">
      <c r="A105" s="1">
        <v>15675949</v>
      </c>
      <c r="B105" s="1" t="s">
        <v>6</v>
      </c>
      <c r="C105" s="1">
        <v>33</v>
      </c>
      <c r="D105" s="1">
        <v>149000</v>
      </c>
      <c r="E105" s="1">
        <v>1</v>
      </c>
      <c r="G105" s="10" t="s">
        <v>50</v>
      </c>
      <c r="H105" s="10">
        <f>COUNTIFS(B:B, "Male", C:C, "&gt;=41", C:C, "&lt;=50", D:D, "&gt;=42000", D:D, "&lt;=68999", E:E, "1")</f>
        <v>0</v>
      </c>
    </row>
    <row r="106" spans="1:8" x14ac:dyDescent="0.25">
      <c r="A106" s="1">
        <v>15672091</v>
      </c>
      <c r="B106" s="1" t="s">
        <v>6</v>
      </c>
      <c r="C106" s="1">
        <v>19</v>
      </c>
      <c r="D106" s="1">
        <v>21000</v>
      </c>
      <c r="E106" s="1">
        <v>0</v>
      </c>
      <c r="G106" s="10" t="s">
        <v>51</v>
      </c>
      <c r="H106" s="10">
        <f>COUNTIFS(B:B, "Male", C:C, "&gt;=41", C:C, "&lt;=50", D:D, "&gt;=42000", D:D, "&lt;=68999", E:E, "0")</f>
        <v>12</v>
      </c>
    </row>
    <row r="107" spans="1:8" x14ac:dyDescent="0.25">
      <c r="A107" s="1">
        <v>15801658</v>
      </c>
      <c r="B107" s="1" t="s">
        <v>5</v>
      </c>
      <c r="C107" s="1">
        <v>21</v>
      </c>
      <c r="D107" s="1">
        <v>72000</v>
      </c>
      <c r="E107" s="1">
        <v>0</v>
      </c>
    </row>
    <row r="108" spans="1:8" x14ac:dyDescent="0.25">
      <c r="A108" s="1">
        <v>15706185</v>
      </c>
      <c r="B108" s="1" t="s">
        <v>6</v>
      </c>
      <c r="C108" s="1">
        <v>26</v>
      </c>
      <c r="D108" s="1">
        <v>35000</v>
      </c>
      <c r="E108" s="1">
        <v>0</v>
      </c>
    </row>
    <row r="109" spans="1:8" x14ac:dyDescent="0.25">
      <c r="A109" s="1">
        <v>15789863</v>
      </c>
      <c r="B109" s="1" t="s">
        <v>5</v>
      </c>
      <c r="C109" s="1">
        <v>27</v>
      </c>
      <c r="D109" s="1">
        <v>89000</v>
      </c>
      <c r="E109" s="1">
        <v>0</v>
      </c>
      <c r="G109" s="10" t="s">
        <v>52</v>
      </c>
      <c r="H109" s="10">
        <f>COUNTIFS(B:B, "Male", C:C, "&gt;=41", C:C, "&lt;=50", D:D, "&gt;=69000", D:D, "&lt;=95999", E:E, "1")</f>
        <v>9</v>
      </c>
    </row>
    <row r="110" spans="1:8" x14ac:dyDescent="0.25">
      <c r="A110" s="1">
        <v>15720943</v>
      </c>
      <c r="B110" s="1" t="s">
        <v>5</v>
      </c>
      <c r="C110" s="1">
        <v>26</v>
      </c>
      <c r="D110" s="1">
        <v>86000</v>
      </c>
      <c r="E110" s="1">
        <v>0</v>
      </c>
      <c r="G110" s="10" t="s">
        <v>53</v>
      </c>
      <c r="H110" s="10">
        <f>COUNTIFS(B:B, "Male", C:C, "&gt;=41", C:C, "&lt;=50", D:D, "&gt;=69000", D:D, "&lt;=95999", E:E, "0")</f>
        <v>5</v>
      </c>
    </row>
    <row r="111" spans="1:8" x14ac:dyDescent="0.25">
      <c r="A111" s="1">
        <v>15697997</v>
      </c>
      <c r="B111" s="1" t="s">
        <v>6</v>
      </c>
      <c r="C111" s="1">
        <v>38</v>
      </c>
      <c r="D111" s="1">
        <v>80000</v>
      </c>
      <c r="E111" s="1">
        <v>0</v>
      </c>
    </row>
    <row r="112" spans="1:8" x14ac:dyDescent="0.25">
      <c r="A112" s="1">
        <v>15665416</v>
      </c>
      <c r="B112" s="1" t="s">
        <v>6</v>
      </c>
      <c r="C112" s="1">
        <v>39</v>
      </c>
      <c r="D112" s="1">
        <v>71000</v>
      </c>
      <c r="E112" s="1">
        <v>0</v>
      </c>
    </row>
    <row r="113" spans="1:8" x14ac:dyDescent="0.25">
      <c r="A113" s="1">
        <v>15660200</v>
      </c>
      <c r="B113" s="1" t="s">
        <v>6</v>
      </c>
      <c r="C113" s="1">
        <v>37</v>
      </c>
      <c r="D113" s="1">
        <v>71000</v>
      </c>
      <c r="E113" s="1">
        <v>0</v>
      </c>
      <c r="G113" s="10" t="s">
        <v>54</v>
      </c>
      <c r="H113" s="10">
        <f>COUNTIFS(B:B, "Male", C:C, "&gt;=41", C:C, "&lt;=50", D:D, "&gt;=96000", D:D, "&lt;=122999", E:E, "1")</f>
        <v>3</v>
      </c>
    </row>
    <row r="114" spans="1:8" x14ac:dyDescent="0.25">
      <c r="A114" s="1">
        <v>15619653</v>
      </c>
      <c r="B114" s="1" t="s">
        <v>5</v>
      </c>
      <c r="C114" s="1">
        <v>38</v>
      </c>
      <c r="D114" s="1">
        <v>61000</v>
      </c>
      <c r="E114" s="1">
        <v>0</v>
      </c>
      <c r="G114" s="10" t="s">
        <v>55</v>
      </c>
      <c r="H114" s="10">
        <f>COUNTIFS(B:B, "Male", C:C, "&gt;=41", C:C, "&lt;=50", D:D, "&gt;=96000", D:D, "&lt;=122999", E:E, "0")</f>
        <v>0</v>
      </c>
    </row>
    <row r="115" spans="1:8" x14ac:dyDescent="0.25">
      <c r="A115" s="1">
        <v>15773447</v>
      </c>
      <c r="B115" s="1" t="s">
        <v>5</v>
      </c>
      <c r="C115" s="1">
        <v>37</v>
      </c>
      <c r="D115" s="1">
        <v>55000</v>
      </c>
      <c r="E115" s="1">
        <v>0</v>
      </c>
    </row>
    <row r="116" spans="1:8" x14ac:dyDescent="0.25">
      <c r="A116" s="1">
        <v>15739160</v>
      </c>
      <c r="B116" s="1" t="s">
        <v>5</v>
      </c>
      <c r="C116" s="1">
        <v>42</v>
      </c>
      <c r="D116" s="1">
        <v>80000</v>
      </c>
      <c r="E116" s="1">
        <v>0</v>
      </c>
    </row>
    <row r="117" spans="1:8" x14ac:dyDescent="0.25">
      <c r="A117" s="1">
        <v>15689237</v>
      </c>
      <c r="B117" s="1" t="s">
        <v>5</v>
      </c>
      <c r="C117" s="1">
        <v>40</v>
      </c>
      <c r="D117" s="1">
        <v>57000</v>
      </c>
      <c r="E117" s="1">
        <v>0</v>
      </c>
      <c r="G117" s="10" t="s">
        <v>56</v>
      </c>
      <c r="H117" s="10">
        <f>COUNTIFS(B:B, "Male", C:C, "&gt;=41", C:C, "&lt;=50", D:D, "&gt;=123000", D:D, "&lt;=149999", E:E, "1")</f>
        <v>2</v>
      </c>
    </row>
    <row r="118" spans="1:8" x14ac:dyDescent="0.25">
      <c r="A118" s="1">
        <v>15679297</v>
      </c>
      <c r="B118" s="1" t="s">
        <v>5</v>
      </c>
      <c r="C118" s="1">
        <v>35</v>
      </c>
      <c r="D118" s="1">
        <v>75000</v>
      </c>
      <c r="E118" s="1">
        <v>0</v>
      </c>
      <c r="G118" s="10" t="s">
        <v>57</v>
      </c>
      <c r="H118" s="10">
        <f>COUNTIFS(B:B, "Male", C:C, "&gt;=41", C:C, "&lt;=50", D:D, "&gt;=123000", D:D, "&lt;=149999", E:E, "0")</f>
        <v>1</v>
      </c>
    </row>
    <row r="119" spans="1:8" x14ac:dyDescent="0.25">
      <c r="A119" s="1">
        <v>15591433</v>
      </c>
      <c r="B119" s="1" t="s">
        <v>5</v>
      </c>
      <c r="C119" s="1">
        <v>36</v>
      </c>
      <c r="D119" s="1">
        <v>52000</v>
      </c>
      <c r="E119" s="1">
        <v>0</v>
      </c>
    </row>
    <row r="120" spans="1:8" x14ac:dyDescent="0.25">
      <c r="A120" s="1">
        <v>15642725</v>
      </c>
      <c r="B120" s="1" t="s">
        <v>5</v>
      </c>
      <c r="C120" s="1">
        <v>40</v>
      </c>
      <c r="D120" s="1">
        <v>59000</v>
      </c>
      <c r="E120" s="1">
        <v>0</v>
      </c>
    </row>
    <row r="121" spans="1:8" x14ac:dyDescent="0.25">
      <c r="A121" s="1">
        <v>15701962</v>
      </c>
      <c r="B121" s="1" t="s">
        <v>5</v>
      </c>
      <c r="C121" s="1">
        <v>41</v>
      </c>
      <c r="D121" s="1">
        <v>59000</v>
      </c>
      <c r="E121" s="1">
        <v>0</v>
      </c>
      <c r="G121" s="10" t="s">
        <v>58</v>
      </c>
      <c r="H121" s="10">
        <f>COUNTIFS(B:B, "Male", C:C, "&gt;=41", C:C, "&lt;=50", D:D, "&gt;=150000", D:D, "&lt;=176999", E:E, "1")</f>
        <v>0</v>
      </c>
    </row>
    <row r="122" spans="1:8" x14ac:dyDescent="0.25">
      <c r="A122" s="1">
        <v>15811613</v>
      </c>
      <c r="B122" s="1" t="s">
        <v>6</v>
      </c>
      <c r="C122" s="1">
        <v>36</v>
      </c>
      <c r="D122" s="1">
        <v>75000</v>
      </c>
      <c r="E122" s="1">
        <v>0</v>
      </c>
      <c r="G122" s="10" t="s">
        <v>59</v>
      </c>
      <c r="H122" s="10">
        <f>COUNTIFS(B:B, "Male", C:C, "&gt;=41", C:C, "&lt;=50", D:D, "&gt;=150000", D:D, "&lt;=176999", E:E, "0")</f>
        <v>0</v>
      </c>
    </row>
    <row r="123" spans="1:8" x14ac:dyDescent="0.25">
      <c r="A123" s="1">
        <v>15741049</v>
      </c>
      <c r="B123" s="1" t="s">
        <v>5</v>
      </c>
      <c r="C123" s="1">
        <v>37</v>
      </c>
      <c r="D123" s="1">
        <v>72000</v>
      </c>
      <c r="E123" s="1">
        <v>0</v>
      </c>
    </row>
    <row r="124" spans="1:8" x14ac:dyDescent="0.25">
      <c r="A124" s="1">
        <v>15724423</v>
      </c>
      <c r="B124" s="1" t="s">
        <v>6</v>
      </c>
      <c r="C124" s="1">
        <v>40</v>
      </c>
      <c r="D124" s="1">
        <v>75000</v>
      </c>
      <c r="E124" s="1">
        <v>0</v>
      </c>
    </row>
    <row r="125" spans="1:8" x14ac:dyDescent="0.25">
      <c r="A125" s="1">
        <v>15574305</v>
      </c>
      <c r="B125" s="1" t="s">
        <v>5</v>
      </c>
      <c r="C125" s="1">
        <v>35</v>
      </c>
      <c r="D125" s="1">
        <v>53000</v>
      </c>
      <c r="E125" s="1">
        <v>0</v>
      </c>
      <c r="G125" s="11" t="s">
        <v>60</v>
      </c>
    </row>
    <row r="126" spans="1:8" x14ac:dyDescent="0.25">
      <c r="A126" s="1">
        <v>15678168</v>
      </c>
      <c r="B126" s="1" t="s">
        <v>6</v>
      </c>
      <c r="C126" s="1">
        <v>41</v>
      </c>
      <c r="D126" s="1">
        <v>51000</v>
      </c>
      <c r="E126" s="1">
        <v>0</v>
      </c>
    </row>
    <row r="127" spans="1:8" x14ac:dyDescent="0.25">
      <c r="A127" s="1">
        <v>15697020</v>
      </c>
      <c r="B127" s="1" t="s">
        <v>6</v>
      </c>
      <c r="C127" s="1">
        <v>39</v>
      </c>
      <c r="D127" s="1">
        <v>61000</v>
      </c>
      <c r="E127" s="1">
        <v>0</v>
      </c>
      <c r="G127" s="10" t="s">
        <v>61</v>
      </c>
      <c r="H127" s="10">
        <f>COUNTIFS(B:B, "Male", C:C, "&gt;=51", C:C, "&lt;=60", D:D, "&gt;=15000", D:D, "&lt;=41999", E:E, "1")</f>
        <v>3</v>
      </c>
    </row>
    <row r="128" spans="1:8" x14ac:dyDescent="0.25">
      <c r="A128" s="1">
        <v>15610801</v>
      </c>
      <c r="B128" s="1" t="s">
        <v>5</v>
      </c>
      <c r="C128" s="1">
        <v>42</v>
      </c>
      <c r="D128" s="1">
        <v>65000</v>
      </c>
      <c r="E128" s="1">
        <v>0</v>
      </c>
      <c r="G128" s="10" t="s">
        <v>62</v>
      </c>
      <c r="H128" s="10">
        <f>COUNTIFS(B:B, "Male", C:C, "&gt;=51", C:C, "&lt;=60", D:D, "&gt;=15000", D:D, "&lt;=41999", E:E, "0")</f>
        <v>0</v>
      </c>
    </row>
    <row r="129" spans="1:8" x14ac:dyDescent="0.25">
      <c r="A129" s="1">
        <v>15745232</v>
      </c>
      <c r="B129" s="1" t="s">
        <v>5</v>
      </c>
      <c r="C129" s="1">
        <v>26</v>
      </c>
      <c r="D129" s="1">
        <v>32000</v>
      </c>
      <c r="E129" s="1">
        <v>0</v>
      </c>
    </row>
    <row r="130" spans="1:8" x14ac:dyDescent="0.25">
      <c r="A130" s="1">
        <v>15722758</v>
      </c>
      <c r="B130" s="1" t="s">
        <v>5</v>
      </c>
      <c r="C130" s="1">
        <v>30</v>
      </c>
      <c r="D130" s="1">
        <v>17000</v>
      </c>
      <c r="E130" s="1">
        <v>0</v>
      </c>
    </row>
    <row r="131" spans="1:8" x14ac:dyDescent="0.25">
      <c r="A131" s="1">
        <v>15792102</v>
      </c>
      <c r="B131" s="1" t="s">
        <v>6</v>
      </c>
      <c r="C131" s="1">
        <v>26</v>
      </c>
      <c r="D131" s="1">
        <v>84000</v>
      </c>
      <c r="E131" s="1">
        <v>0</v>
      </c>
      <c r="G131" s="10" t="s">
        <v>63</v>
      </c>
      <c r="H131" s="10">
        <f>COUNTIFS(B:B, "Male", C:C, "&gt;=51", C:C, "&lt;=60", D:D, "&gt;=42000", D:D, "&lt;=68999", E:E, "1")</f>
        <v>4</v>
      </c>
    </row>
    <row r="132" spans="1:8" x14ac:dyDescent="0.25">
      <c r="A132" s="1">
        <v>15675185</v>
      </c>
      <c r="B132" s="1" t="s">
        <v>5</v>
      </c>
      <c r="C132" s="1">
        <v>31</v>
      </c>
      <c r="D132" s="1">
        <v>58000</v>
      </c>
      <c r="E132" s="1">
        <v>0</v>
      </c>
      <c r="G132" s="10" t="s">
        <v>64</v>
      </c>
      <c r="H132" s="10">
        <f>COUNTIFS(B:B, "Male", C:C, "&gt;=51", C:C, "&lt;=60", D:D, "&gt;=42000", D:D, "&lt;=68999", E:E, "0")</f>
        <v>0</v>
      </c>
    </row>
    <row r="133" spans="1:8" x14ac:dyDescent="0.25">
      <c r="A133" s="1">
        <v>15801247</v>
      </c>
      <c r="B133" s="1" t="s">
        <v>5</v>
      </c>
      <c r="C133" s="1">
        <v>33</v>
      </c>
      <c r="D133" s="1">
        <v>31000</v>
      </c>
      <c r="E133" s="1">
        <v>0</v>
      </c>
    </row>
    <row r="134" spans="1:8" x14ac:dyDescent="0.25">
      <c r="A134" s="1">
        <v>15725660</v>
      </c>
      <c r="B134" s="1" t="s">
        <v>5</v>
      </c>
      <c r="C134" s="1">
        <v>30</v>
      </c>
      <c r="D134" s="1">
        <v>87000</v>
      </c>
      <c r="E134" s="1">
        <v>0</v>
      </c>
    </row>
    <row r="135" spans="1:8" x14ac:dyDescent="0.25">
      <c r="A135" s="1">
        <v>15638963</v>
      </c>
      <c r="B135" s="1" t="s">
        <v>6</v>
      </c>
      <c r="C135" s="1">
        <v>21</v>
      </c>
      <c r="D135" s="1">
        <v>68000</v>
      </c>
      <c r="E135" s="1">
        <v>0</v>
      </c>
      <c r="G135" s="10" t="s">
        <v>65</v>
      </c>
      <c r="H135" s="10">
        <f>COUNTIFS(B:B, "Male", C:C, "&gt;=51", C:C, "&lt;=60", D:D, "&gt;=69000", D:D, "&lt;=95999", E:E, "1")</f>
        <v>4</v>
      </c>
    </row>
    <row r="136" spans="1:8" x14ac:dyDescent="0.25">
      <c r="A136" s="1">
        <v>15800061</v>
      </c>
      <c r="B136" s="1" t="s">
        <v>6</v>
      </c>
      <c r="C136" s="1">
        <v>28</v>
      </c>
      <c r="D136" s="1">
        <v>55000</v>
      </c>
      <c r="E136" s="1">
        <v>0</v>
      </c>
      <c r="G136" s="10" t="s">
        <v>66</v>
      </c>
      <c r="H136" s="10">
        <f>COUNTIFS(B:B, "Male", C:C, "&gt;=51", C:C, "&lt;=60", D:D, "&gt;=69000", D:D, "&lt;=95999", E:E, "0")</f>
        <v>0</v>
      </c>
    </row>
    <row r="137" spans="1:8" x14ac:dyDescent="0.25">
      <c r="A137" s="1">
        <v>15578006</v>
      </c>
      <c r="B137" s="1" t="s">
        <v>5</v>
      </c>
      <c r="C137" s="1">
        <v>23</v>
      </c>
      <c r="D137" s="1">
        <v>63000</v>
      </c>
      <c r="E137" s="1">
        <v>0</v>
      </c>
    </row>
    <row r="138" spans="1:8" x14ac:dyDescent="0.25">
      <c r="A138" s="1">
        <v>15668504</v>
      </c>
      <c r="B138" s="1" t="s">
        <v>6</v>
      </c>
      <c r="C138" s="1">
        <v>20</v>
      </c>
      <c r="D138" s="1">
        <v>82000</v>
      </c>
      <c r="E138" s="1">
        <v>0</v>
      </c>
    </row>
    <row r="139" spans="1:8" x14ac:dyDescent="0.25">
      <c r="A139" s="1">
        <v>15687491</v>
      </c>
      <c r="B139" s="1" t="s">
        <v>5</v>
      </c>
      <c r="C139" s="1">
        <v>30</v>
      </c>
      <c r="D139" s="1">
        <v>107000</v>
      </c>
      <c r="E139" s="1">
        <v>1</v>
      </c>
      <c r="G139" s="10" t="s">
        <v>67</v>
      </c>
      <c r="H139" s="10">
        <f>COUNTIFS(B:B, "Male", C:C, "&gt;=51", C:C, "&lt;=60", D:D, "&gt;=96000", D:D, "&lt;=122999", E:E, "1")</f>
        <v>1</v>
      </c>
    </row>
    <row r="140" spans="1:8" x14ac:dyDescent="0.25">
      <c r="A140" s="1">
        <v>15610403</v>
      </c>
      <c r="B140" s="1" t="s">
        <v>6</v>
      </c>
      <c r="C140" s="1">
        <v>28</v>
      </c>
      <c r="D140" s="1">
        <v>59000</v>
      </c>
      <c r="E140" s="1">
        <v>0</v>
      </c>
      <c r="G140" s="10" t="s">
        <v>68</v>
      </c>
      <c r="H140" s="10">
        <f>COUNTIFS(B:B, "Male", C:C, "&gt;=51", C:C, "&lt;=60", D:D, "&gt;=96000", D:D, "&lt;=122999", E:E, "0")</f>
        <v>0</v>
      </c>
    </row>
    <row r="141" spans="1:8" x14ac:dyDescent="0.25">
      <c r="A141" s="1">
        <v>15741094</v>
      </c>
      <c r="B141" s="1" t="s">
        <v>5</v>
      </c>
      <c r="C141" s="1">
        <v>19</v>
      </c>
      <c r="D141" s="1">
        <v>25000</v>
      </c>
      <c r="E141" s="1">
        <v>0</v>
      </c>
    </row>
    <row r="142" spans="1:8" x14ac:dyDescent="0.25">
      <c r="A142" s="1">
        <v>15807909</v>
      </c>
      <c r="B142" s="1" t="s">
        <v>5</v>
      </c>
      <c r="C142" s="1">
        <v>19</v>
      </c>
      <c r="D142" s="1">
        <v>85000</v>
      </c>
      <c r="E142" s="1">
        <v>0</v>
      </c>
    </row>
    <row r="143" spans="1:8" x14ac:dyDescent="0.25">
      <c r="A143" s="1">
        <v>15666141</v>
      </c>
      <c r="B143" s="1" t="s">
        <v>6</v>
      </c>
      <c r="C143" s="1">
        <v>18</v>
      </c>
      <c r="D143" s="1">
        <v>68000</v>
      </c>
      <c r="E143" s="1">
        <v>0</v>
      </c>
      <c r="G143" s="10" t="s">
        <v>69</v>
      </c>
      <c r="H143" s="10">
        <f>COUNTIFS(B:B, "Male", C:C, "&gt;=51", C:C, "&lt;=60", D:D, "&gt;=123000", D:D, "&lt;=149999", E:E, "1")</f>
        <v>4</v>
      </c>
    </row>
    <row r="144" spans="1:8" x14ac:dyDescent="0.25">
      <c r="A144" s="1">
        <v>15617134</v>
      </c>
      <c r="B144" s="1" t="s">
        <v>5</v>
      </c>
      <c r="C144" s="1">
        <v>35</v>
      </c>
      <c r="D144" s="1">
        <v>59000</v>
      </c>
      <c r="E144" s="1">
        <v>0</v>
      </c>
      <c r="G144" s="10" t="s">
        <v>70</v>
      </c>
      <c r="H144" s="10">
        <f>COUNTIFS(B:B, "Male", C:C, "&gt;=51", C:C, "&lt;=60", D:D, "&gt;=123000", D:D, "&lt;=149999", E:E, "0")</f>
        <v>0</v>
      </c>
    </row>
    <row r="145" spans="1:8" x14ac:dyDescent="0.25">
      <c r="A145" s="1">
        <v>15783029</v>
      </c>
      <c r="B145" s="1" t="s">
        <v>5</v>
      </c>
      <c r="C145" s="1">
        <v>30</v>
      </c>
      <c r="D145" s="1">
        <v>89000</v>
      </c>
      <c r="E145" s="1">
        <v>0</v>
      </c>
    </row>
    <row r="146" spans="1:8" x14ac:dyDescent="0.25">
      <c r="A146" s="1">
        <v>15622833</v>
      </c>
      <c r="B146" s="1" t="s">
        <v>6</v>
      </c>
      <c r="C146" s="1">
        <v>34</v>
      </c>
      <c r="D146" s="1">
        <v>25000</v>
      </c>
      <c r="E146" s="1">
        <v>0</v>
      </c>
    </row>
    <row r="147" spans="1:8" x14ac:dyDescent="0.25">
      <c r="A147" s="1">
        <v>15746422</v>
      </c>
      <c r="B147" s="1" t="s">
        <v>6</v>
      </c>
      <c r="C147" s="1">
        <v>24</v>
      </c>
      <c r="D147" s="1">
        <v>89000</v>
      </c>
      <c r="E147" s="1">
        <v>0</v>
      </c>
      <c r="G147" s="10" t="s">
        <v>71</v>
      </c>
      <c r="H147" s="10">
        <f>COUNTIFS(B:B, "Male", C:C, "&gt;=51", C:C, "&lt;=60", D:D, "&gt;=150000", D:D, "&lt;=176999", E:E, "1")</f>
        <v>1</v>
      </c>
    </row>
    <row r="148" spans="1:8" x14ac:dyDescent="0.25">
      <c r="A148" s="1">
        <v>15750839</v>
      </c>
      <c r="B148" s="1" t="s">
        <v>6</v>
      </c>
      <c r="C148" s="1">
        <v>27</v>
      </c>
      <c r="D148" s="1">
        <v>96000</v>
      </c>
      <c r="E148" s="1">
        <v>1</v>
      </c>
      <c r="G148" s="10" t="s">
        <v>72</v>
      </c>
      <c r="H148" s="10">
        <f>COUNTIFS(B:B, "Male", C:C, "&gt;=51", C:C, "&lt;=60", D:D, "&gt;=150000", D:D, "&lt;=176999", E:E, "0")</f>
        <v>0</v>
      </c>
    </row>
    <row r="149" spans="1:8" x14ac:dyDescent="0.25">
      <c r="A149" s="1">
        <v>15749130</v>
      </c>
      <c r="B149" s="1" t="s">
        <v>6</v>
      </c>
      <c r="C149" s="1">
        <v>41</v>
      </c>
      <c r="D149" s="1">
        <v>30000</v>
      </c>
      <c r="E149" s="1">
        <v>0</v>
      </c>
    </row>
    <row r="150" spans="1:8" x14ac:dyDescent="0.25">
      <c r="A150" s="1">
        <v>15779862</v>
      </c>
      <c r="B150" s="1" t="s">
        <v>5</v>
      </c>
      <c r="C150" s="1">
        <v>29</v>
      </c>
      <c r="D150" s="1">
        <v>61000</v>
      </c>
      <c r="E150" s="1">
        <v>0</v>
      </c>
      <c r="G150" s="14"/>
    </row>
    <row r="151" spans="1:8" x14ac:dyDescent="0.25">
      <c r="A151" s="1">
        <v>15767871</v>
      </c>
      <c r="B151" s="1" t="s">
        <v>5</v>
      </c>
      <c r="C151" s="1">
        <v>20</v>
      </c>
      <c r="D151" s="1">
        <v>74000</v>
      </c>
      <c r="E151" s="1">
        <v>0</v>
      </c>
    </row>
    <row r="152" spans="1:8" x14ac:dyDescent="0.25">
      <c r="A152" s="1">
        <v>15679651</v>
      </c>
      <c r="B152" s="1" t="s">
        <v>6</v>
      </c>
      <c r="C152" s="1">
        <v>26</v>
      </c>
      <c r="D152" s="1">
        <v>15000</v>
      </c>
      <c r="E152" s="1">
        <v>0</v>
      </c>
      <c r="G152" s="12" t="s">
        <v>73</v>
      </c>
    </row>
    <row r="153" spans="1:8" x14ac:dyDescent="0.25">
      <c r="A153" s="1">
        <v>15576219</v>
      </c>
      <c r="B153" s="1" t="s">
        <v>5</v>
      </c>
      <c r="C153" s="1">
        <v>41</v>
      </c>
      <c r="D153" s="1">
        <v>45000</v>
      </c>
      <c r="E153" s="1">
        <v>0</v>
      </c>
    </row>
    <row r="154" spans="1:8" x14ac:dyDescent="0.25">
      <c r="A154" s="1">
        <v>15699247</v>
      </c>
      <c r="B154" s="1" t="s">
        <v>5</v>
      </c>
      <c r="C154" s="1">
        <v>31</v>
      </c>
      <c r="D154" s="1">
        <v>76000</v>
      </c>
      <c r="E154" s="1">
        <v>0</v>
      </c>
      <c r="G154" s="13" t="s">
        <v>74</v>
      </c>
      <c r="H154" s="13">
        <f>COUNTIFS(B:B, "Female", C:C, "&lt;=30", D:D, "&gt;=15000", D:D, "&lt;=42000", E:E, "1")</f>
        <v>0</v>
      </c>
    </row>
    <row r="155" spans="1:8" x14ac:dyDescent="0.25">
      <c r="A155" s="1">
        <v>15619087</v>
      </c>
      <c r="B155" s="1" t="s">
        <v>6</v>
      </c>
      <c r="C155" s="1">
        <v>36</v>
      </c>
      <c r="D155" s="1">
        <v>50000</v>
      </c>
      <c r="E155" s="1">
        <v>0</v>
      </c>
      <c r="G155" s="13" t="s">
        <v>75</v>
      </c>
      <c r="H155" s="13">
        <f>COUNTIFS(B:B, "Female", C:C, "&lt;=30", D:D, "&gt;=15000", D:D, "&lt;=42000", E:E, "0")</f>
        <v>16</v>
      </c>
    </row>
    <row r="156" spans="1:8" x14ac:dyDescent="0.25">
      <c r="A156" s="1">
        <v>15605327</v>
      </c>
      <c r="B156" s="1" t="s">
        <v>5</v>
      </c>
      <c r="C156" s="1">
        <v>40</v>
      </c>
      <c r="D156" s="1">
        <v>47000</v>
      </c>
      <c r="E156" s="1">
        <v>0</v>
      </c>
    </row>
    <row r="157" spans="1:8" x14ac:dyDescent="0.25">
      <c r="A157" s="1">
        <v>15610140</v>
      </c>
      <c r="B157" s="1" t="s">
        <v>6</v>
      </c>
      <c r="C157" s="1">
        <v>31</v>
      </c>
      <c r="D157" s="1">
        <v>15000</v>
      </c>
      <c r="E157" s="1">
        <v>0</v>
      </c>
    </row>
    <row r="158" spans="1:8" x14ac:dyDescent="0.25">
      <c r="A158" s="1">
        <v>15791174</v>
      </c>
      <c r="B158" s="1" t="s">
        <v>5</v>
      </c>
      <c r="C158" s="1">
        <v>46</v>
      </c>
      <c r="D158" s="1">
        <v>59000</v>
      </c>
      <c r="E158" s="1">
        <v>0</v>
      </c>
      <c r="G158" s="13" t="s">
        <v>76</v>
      </c>
      <c r="H158" s="13">
        <f>COUNTIFS(B:B, "Female", C:C, "&lt;=30", D:D, "&gt;=42000", D:D, "&lt;=68999", E:E, "1")</f>
        <v>0</v>
      </c>
    </row>
    <row r="159" spans="1:8" x14ac:dyDescent="0.25">
      <c r="A159" s="1">
        <v>15602373</v>
      </c>
      <c r="B159" s="1" t="s">
        <v>5</v>
      </c>
      <c r="C159" s="1">
        <v>29</v>
      </c>
      <c r="D159" s="1">
        <v>75000</v>
      </c>
      <c r="E159" s="1">
        <v>0</v>
      </c>
      <c r="G159" s="13" t="s">
        <v>77</v>
      </c>
      <c r="H159" s="13">
        <f>COUNTIFS(B:B, "Female", C:C, "&lt;=30", D:D, "&gt;=42000", D:D, "&lt;=68999", E:E, "0")</f>
        <v>18</v>
      </c>
    </row>
    <row r="160" spans="1:8" x14ac:dyDescent="0.25">
      <c r="A160" s="1">
        <v>15762605</v>
      </c>
      <c r="B160" s="1" t="s">
        <v>5</v>
      </c>
      <c r="C160" s="1">
        <v>26</v>
      </c>
      <c r="D160" s="1">
        <v>30000</v>
      </c>
      <c r="E160" s="1">
        <v>0</v>
      </c>
    </row>
    <row r="161" spans="1:8" x14ac:dyDescent="0.25">
      <c r="A161" s="1">
        <v>15598840</v>
      </c>
      <c r="B161" s="1" t="s">
        <v>6</v>
      </c>
      <c r="C161" s="1">
        <v>32</v>
      </c>
      <c r="D161" s="1">
        <v>135000</v>
      </c>
      <c r="E161" s="1">
        <v>1</v>
      </c>
    </row>
    <row r="162" spans="1:8" x14ac:dyDescent="0.25">
      <c r="A162" s="1">
        <v>15744279</v>
      </c>
      <c r="B162" s="1" t="s">
        <v>5</v>
      </c>
      <c r="C162" s="1">
        <v>32</v>
      </c>
      <c r="D162" s="1">
        <v>100000</v>
      </c>
      <c r="E162" s="1">
        <v>1</v>
      </c>
      <c r="G162" s="13" t="s">
        <v>78</v>
      </c>
      <c r="H162" s="13">
        <f>COUNTIFS(B:B, "Female", C:C, "&lt;=30", D:D, "&gt;=69000", D:D, "&lt;=95999", E:E, "1")</f>
        <v>0</v>
      </c>
    </row>
    <row r="163" spans="1:8" x14ac:dyDescent="0.25">
      <c r="A163" s="1">
        <v>15670619</v>
      </c>
      <c r="B163" s="1" t="s">
        <v>5</v>
      </c>
      <c r="C163" s="1">
        <v>25</v>
      </c>
      <c r="D163" s="1">
        <v>90000</v>
      </c>
      <c r="E163" s="1">
        <v>0</v>
      </c>
      <c r="G163" s="13" t="s">
        <v>79</v>
      </c>
      <c r="H163" s="13">
        <f>COUNTIFS(B:B, "Female", C:C, "&lt;=30", D:D, "&gt;=69000", D:D, "&lt;=95999", E:E, "0")</f>
        <v>15</v>
      </c>
    </row>
    <row r="164" spans="1:8" x14ac:dyDescent="0.25">
      <c r="A164" s="1">
        <v>15599533</v>
      </c>
      <c r="B164" s="1" t="s">
        <v>6</v>
      </c>
      <c r="C164" s="1">
        <v>37</v>
      </c>
      <c r="D164" s="1">
        <v>33000</v>
      </c>
      <c r="E164" s="1">
        <v>0</v>
      </c>
    </row>
    <row r="165" spans="1:8" x14ac:dyDescent="0.25">
      <c r="A165" s="1">
        <v>15757837</v>
      </c>
      <c r="B165" s="1" t="s">
        <v>5</v>
      </c>
      <c r="C165" s="1">
        <v>35</v>
      </c>
      <c r="D165" s="1">
        <v>38000</v>
      </c>
      <c r="E165" s="1">
        <v>0</v>
      </c>
    </row>
    <row r="166" spans="1:8" x14ac:dyDescent="0.25">
      <c r="A166" s="1">
        <v>15697574</v>
      </c>
      <c r="B166" s="1" t="s">
        <v>6</v>
      </c>
      <c r="C166" s="1">
        <v>33</v>
      </c>
      <c r="D166" s="1">
        <v>69000</v>
      </c>
      <c r="E166" s="1">
        <v>0</v>
      </c>
      <c r="G166" s="13" t="s">
        <v>80</v>
      </c>
      <c r="H166" s="13">
        <f>COUNTIFS(B:B, "Female", C:C, "&lt;=30", D:D, "&gt;=96000", D:D, "&lt;=122999", E:E, "1")</f>
        <v>1</v>
      </c>
    </row>
    <row r="167" spans="1:8" x14ac:dyDescent="0.25">
      <c r="A167" s="1">
        <v>15578738</v>
      </c>
      <c r="B167" s="1" t="s">
        <v>6</v>
      </c>
      <c r="C167" s="1">
        <v>18</v>
      </c>
      <c r="D167" s="1">
        <v>86000</v>
      </c>
      <c r="E167" s="1">
        <v>0</v>
      </c>
      <c r="G167" s="13" t="s">
        <v>81</v>
      </c>
      <c r="H167" s="13">
        <f>COUNTIFS(B:B, "Female", C:C, "&lt;=30", D:D, "&gt;=96000", D:D, "&lt;=122999", E:E, "0")</f>
        <v>2</v>
      </c>
    </row>
    <row r="168" spans="1:8" x14ac:dyDescent="0.25">
      <c r="A168" s="1">
        <v>15762228</v>
      </c>
      <c r="B168" s="1" t="s">
        <v>6</v>
      </c>
      <c r="C168" s="1">
        <v>22</v>
      </c>
      <c r="D168" s="1">
        <v>55000</v>
      </c>
      <c r="E168" s="1">
        <v>0</v>
      </c>
    </row>
    <row r="169" spans="1:8" x14ac:dyDescent="0.25">
      <c r="A169" s="1">
        <v>15614827</v>
      </c>
      <c r="B169" s="1" t="s">
        <v>6</v>
      </c>
      <c r="C169" s="1">
        <v>35</v>
      </c>
      <c r="D169" s="1">
        <v>71000</v>
      </c>
      <c r="E169" s="1">
        <v>0</v>
      </c>
    </row>
    <row r="170" spans="1:8" x14ac:dyDescent="0.25">
      <c r="A170" s="1">
        <v>15789815</v>
      </c>
      <c r="B170" s="1" t="s">
        <v>5</v>
      </c>
      <c r="C170" s="1">
        <v>29</v>
      </c>
      <c r="D170" s="1">
        <v>148000</v>
      </c>
      <c r="E170" s="1">
        <v>1</v>
      </c>
      <c r="G170" s="13" t="s">
        <v>82</v>
      </c>
      <c r="H170" s="13">
        <f>COUNTIFS(B:B, "Female", C:C, "&lt;=30", D:D, "&gt;=123000", D:D, "&lt;=149999", E:E, "1")</f>
        <v>1</v>
      </c>
    </row>
    <row r="171" spans="1:8" x14ac:dyDescent="0.25">
      <c r="A171" s="1">
        <v>15579781</v>
      </c>
      <c r="B171" s="1" t="s">
        <v>6</v>
      </c>
      <c r="C171" s="1">
        <v>29</v>
      </c>
      <c r="D171" s="1">
        <v>47000</v>
      </c>
      <c r="E171" s="1">
        <v>0</v>
      </c>
      <c r="G171" s="13" t="s">
        <v>83</v>
      </c>
      <c r="H171" s="13">
        <f>COUNTIFS(B:B, "Female", C:C, "&lt;=30", D:D, "&gt;=123000", D:D, "&lt;=149999", E:E, "1")</f>
        <v>1</v>
      </c>
    </row>
    <row r="172" spans="1:8" x14ac:dyDescent="0.25">
      <c r="A172" s="1">
        <v>15587013</v>
      </c>
      <c r="B172" s="1" t="s">
        <v>5</v>
      </c>
      <c r="C172" s="1">
        <v>21</v>
      </c>
      <c r="D172" s="1">
        <v>88000</v>
      </c>
      <c r="E172" s="1">
        <v>0</v>
      </c>
    </row>
    <row r="173" spans="1:8" x14ac:dyDescent="0.25">
      <c r="A173" s="1">
        <v>15570932</v>
      </c>
      <c r="B173" s="1" t="s">
        <v>5</v>
      </c>
      <c r="C173" s="1">
        <v>34</v>
      </c>
      <c r="D173" s="1">
        <v>115000</v>
      </c>
      <c r="E173" s="1">
        <v>0</v>
      </c>
    </row>
    <row r="174" spans="1:8" x14ac:dyDescent="0.25">
      <c r="A174" s="1">
        <v>15794661</v>
      </c>
      <c r="B174" s="1" t="s">
        <v>6</v>
      </c>
      <c r="C174" s="1">
        <v>26</v>
      </c>
      <c r="D174" s="1">
        <v>118000</v>
      </c>
      <c r="E174" s="1">
        <v>0</v>
      </c>
      <c r="G174" s="13" t="s">
        <v>84</v>
      </c>
      <c r="H174" s="13">
        <f>COUNTIFS(B:B, "Female", C:C, "&lt;=30", D:D, "&gt;=150000", D:D, "&lt;=176999", E:E, "1")</f>
        <v>0</v>
      </c>
    </row>
    <row r="175" spans="1:8" x14ac:dyDescent="0.25">
      <c r="A175" s="1">
        <v>15581654</v>
      </c>
      <c r="B175" s="1" t="s">
        <v>6</v>
      </c>
      <c r="C175" s="1">
        <v>34</v>
      </c>
      <c r="D175" s="1">
        <v>43000</v>
      </c>
      <c r="E175" s="1">
        <v>0</v>
      </c>
      <c r="G175" s="13" t="s">
        <v>85</v>
      </c>
      <c r="H175" s="13">
        <f>COUNTIFS(B:B, "Female", C:C, "&lt;=30", D:D, "&gt;=123000", D:D, "&lt;=149999", E:E, "0")</f>
        <v>0</v>
      </c>
    </row>
    <row r="176" spans="1:8" x14ac:dyDescent="0.25">
      <c r="A176" s="1">
        <v>15644296</v>
      </c>
      <c r="B176" s="1" t="s">
        <v>6</v>
      </c>
      <c r="C176" s="1">
        <v>34</v>
      </c>
      <c r="D176" s="1">
        <v>72000</v>
      </c>
      <c r="E176" s="1">
        <v>0</v>
      </c>
    </row>
    <row r="177" spans="1:8" x14ac:dyDescent="0.25">
      <c r="A177" s="1">
        <v>15614420</v>
      </c>
      <c r="B177" s="1" t="s">
        <v>6</v>
      </c>
      <c r="C177" s="1">
        <v>23</v>
      </c>
      <c r="D177" s="1">
        <v>28000</v>
      </c>
      <c r="E177" s="1">
        <v>0</v>
      </c>
    </row>
    <row r="178" spans="1:8" x14ac:dyDescent="0.25">
      <c r="A178" s="1">
        <v>15609653</v>
      </c>
      <c r="B178" s="1" t="s">
        <v>6</v>
      </c>
      <c r="C178" s="1">
        <v>35</v>
      </c>
      <c r="D178" s="1">
        <v>47000</v>
      </c>
      <c r="E178" s="1">
        <v>0</v>
      </c>
      <c r="G178" s="12" t="s">
        <v>86</v>
      </c>
    </row>
    <row r="179" spans="1:8" x14ac:dyDescent="0.25">
      <c r="A179" s="1">
        <v>15594577</v>
      </c>
      <c r="B179" s="1" t="s">
        <v>5</v>
      </c>
      <c r="C179" s="1">
        <v>25</v>
      </c>
      <c r="D179" s="1">
        <v>22000</v>
      </c>
      <c r="E179" s="1">
        <v>0</v>
      </c>
    </row>
    <row r="180" spans="1:8" x14ac:dyDescent="0.25">
      <c r="A180" s="1">
        <v>15584114</v>
      </c>
      <c r="B180" s="1" t="s">
        <v>5</v>
      </c>
      <c r="C180" s="1">
        <v>24</v>
      </c>
      <c r="D180" s="1">
        <v>23000</v>
      </c>
      <c r="E180" s="1">
        <v>0</v>
      </c>
      <c r="G180" s="13" t="s">
        <v>87</v>
      </c>
      <c r="H180" s="13">
        <f>COUNTIFS(B:B, "Female", C:C, "&gt;=31", C:C, "&lt;=40", D:D, "&gt;=15000", D:D, "&lt;=41999", E:E, "1")</f>
        <v>0</v>
      </c>
    </row>
    <row r="181" spans="1:8" x14ac:dyDescent="0.25">
      <c r="A181" s="1">
        <v>15673367</v>
      </c>
      <c r="B181" s="1" t="s">
        <v>6</v>
      </c>
      <c r="C181" s="1">
        <v>31</v>
      </c>
      <c r="D181" s="1">
        <v>34000</v>
      </c>
      <c r="E181" s="1">
        <v>0</v>
      </c>
      <c r="G181" s="13" t="s">
        <v>88</v>
      </c>
      <c r="H181" s="13">
        <f>COUNTIFS(B:B, "Female", C:C, "&gt;=31", C:C, "&lt;=40", D:D, "&gt;=15000", D:D, "&lt;=41999", E:E, "0")</f>
        <v>8</v>
      </c>
    </row>
    <row r="182" spans="1:8" x14ac:dyDescent="0.25">
      <c r="A182" s="1">
        <v>15685576</v>
      </c>
      <c r="B182" s="1" t="s">
        <v>5</v>
      </c>
      <c r="C182" s="1">
        <v>26</v>
      </c>
      <c r="D182" s="1">
        <v>16000</v>
      </c>
      <c r="E182" s="1">
        <v>0</v>
      </c>
    </row>
    <row r="183" spans="1:8" x14ac:dyDescent="0.25">
      <c r="A183" s="1">
        <v>15774727</v>
      </c>
      <c r="B183" s="1" t="s">
        <v>6</v>
      </c>
      <c r="C183" s="1">
        <v>31</v>
      </c>
      <c r="D183" s="1">
        <v>71000</v>
      </c>
      <c r="E183" s="1">
        <v>0</v>
      </c>
    </row>
    <row r="184" spans="1:8" x14ac:dyDescent="0.25">
      <c r="A184" s="1">
        <v>15694288</v>
      </c>
      <c r="B184" s="1" t="s">
        <v>6</v>
      </c>
      <c r="C184" s="1">
        <v>32</v>
      </c>
      <c r="D184" s="1">
        <v>117000</v>
      </c>
      <c r="E184" s="1">
        <v>1</v>
      </c>
      <c r="G184" s="13" t="s">
        <v>89</v>
      </c>
      <c r="H184" s="13">
        <f>COUNTIFS(B:B, "Female", C:C, "&gt;=31", C:C, "&lt;=40", D:D, "&gt;=42000", D:D, "&lt;=68999", E:E, "1")</f>
        <v>0</v>
      </c>
    </row>
    <row r="185" spans="1:8" x14ac:dyDescent="0.25">
      <c r="A185" s="1">
        <v>15603319</v>
      </c>
      <c r="B185" s="1" t="s">
        <v>5</v>
      </c>
      <c r="C185" s="1">
        <v>33</v>
      </c>
      <c r="D185" s="1">
        <v>43000</v>
      </c>
      <c r="E185" s="1">
        <v>0</v>
      </c>
      <c r="G185" s="13" t="s">
        <v>90</v>
      </c>
      <c r="H185" s="13">
        <f>COUNTIFS(B:B, "Female", C:C, "&gt;=31", C:C, "&lt;=40", D:D, "&gt;=42000", D:D, "&lt;=68999", E:E, "0")</f>
        <v>22</v>
      </c>
    </row>
    <row r="186" spans="1:8" x14ac:dyDescent="0.25">
      <c r="A186" s="1">
        <v>15759066</v>
      </c>
      <c r="B186" s="1" t="s">
        <v>6</v>
      </c>
      <c r="C186" s="1">
        <v>33</v>
      </c>
      <c r="D186" s="1">
        <v>60000</v>
      </c>
      <c r="E186" s="1">
        <v>0</v>
      </c>
    </row>
    <row r="187" spans="1:8" x14ac:dyDescent="0.25">
      <c r="A187" s="1">
        <v>15814816</v>
      </c>
      <c r="B187" s="1" t="s">
        <v>5</v>
      </c>
      <c r="C187" s="1">
        <v>31</v>
      </c>
      <c r="D187" s="1">
        <v>66000</v>
      </c>
      <c r="E187" s="1">
        <v>0</v>
      </c>
    </row>
    <row r="188" spans="1:8" x14ac:dyDescent="0.25">
      <c r="A188" s="1">
        <v>15724402</v>
      </c>
      <c r="B188" s="1" t="s">
        <v>6</v>
      </c>
      <c r="C188" s="1">
        <v>20</v>
      </c>
      <c r="D188" s="1">
        <v>82000</v>
      </c>
      <c r="E188" s="1">
        <v>0</v>
      </c>
      <c r="G188" s="13" t="s">
        <v>91</v>
      </c>
      <c r="H188" s="13">
        <f>COUNTIFS(B:B, "Female", C:C, "&gt;=31", C:C, "&lt;=40", D:D, "&gt;=69000", D:D, "&lt;=95999", E:E, "1")</f>
        <v>3</v>
      </c>
    </row>
    <row r="189" spans="1:8" x14ac:dyDescent="0.25">
      <c r="A189" s="1">
        <v>15571059</v>
      </c>
      <c r="B189" s="1" t="s">
        <v>6</v>
      </c>
      <c r="C189" s="1">
        <v>33</v>
      </c>
      <c r="D189" s="1">
        <v>41000</v>
      </c>
      <c r="E189" s="1">
        <v>0</v>
      </c>
      <c r="G189" s="13" t="s">
        <v>92</v>
      </c>
      <c r="H189" s="13">
        <f>COUNTIFS(B:B, "Female", C:C, "&gt;=31", C:C, "&lt;=40", D:D, "&gt;=69000", D:D, "&lt;=95999", E:E, "0")</f>
        <v>18</v>
      </c>
    </row>
    <row r="190" spans="1:8" x14ac:dyDescent="0.25">
      <c r="A190" s="1">
        <v>15674206</v>
      </c>
      <c r="B190" s="1" t="s">
        <v>5</v>
      </c>
      <c r="C190" s="1">
        <v>35</v>
      </c>
      <c r="D190" s="1">
        <v>72000</v>
      </c>
      <c r="E190" s="1">
        <v>0</v>
      </c>
    </row>
    <row r="191" spans="1:8" x14ac:dyDescent="0.25">
      <c r="A191" s="1">
        <v>15715160</v>
      </c>
      <c r="B191" s="1" t="s">
        <v>5</v>
      </c>
      <c r="C191" s="1">
        <v>28</v>
      </c>
      <c r="D191" s="1">
        <v>32000</v>
      </c>
      <c r="E191" s="1">
        <v>0</v>
      </c>
    </row>
    <row r="192" spans="1:8" x14ac:dyDescent="0.25">
      <c r="A192" s="1">
        <v>15730448</v>
      </c>
      <c r="B192" s="1" t="s">
        <v>5</v>
      </c>
      <c r="C192" s="1">
        <v>24</v>
      </c>
      <c r="D192" s="1">
        <v>84000</v>
      </c>
      <c r="E192" s="1">
        <v>0</v>
      </c>
      <c r="G192" s="13" t="s">
        <v>93</v>
      </c>
      <c r="H192" s="13">
        <f>COUNTIFS(B:B, "Female", C:C, "&gt;=31", C:C, "&lt;=40", D:D, "&gt;=96000", D:D, "&lt;=122999", E:E, "1")</f>
        <v>4</v>
      </c>
    </row>
    <row r="193" spans="1:8" x14ac:dyDescent="0.25">
      <c r="A193" s="1">
        <v>15662067</v>
      </c>
      <c r="B193" s="1" t="s">
        <v>6</v>
      </c>
      <c r="C193" s="1">
        <v>19</v>
      </c>
      <c r="D193" s="1">
        <v>26000</v>
      </c>
      <c r="E193" s="1">
        <v>0</v>
      </c>
      <c r="G193" s="13" t="s">
        <v>94</v>
      </c>
      <c r="H193" s="13">
        <f>COUNTIFS(B:B, "Female", C:C, "&gt;=31", C:C, "&lt;=40", D:D, "&gt;=96000", D:D, "&lt;=122999", E:E, "0")</f>
        <v>3</v>
      </c>
    </row>
    <row r="194" spans="1:8" x14ac:dyDescent="0.25">
      <c r="A194" s="1">
        <v>15779581</v>
      </c>
      <c r="B194" s="1" t="s">
        <v>5</v>
      </c>
      <c r="C194" s="1">
        <v>29</v>
      </c>
      <c r="D194" s="1">
        <v>43000</v>
      </c>
      <c r="E194" s="1">
        <v>0</v>
      </c>
    </row>
    <row r="195" spans="1:8" x14ac:dyDescent="0.25">
      <c r="A195" s="1">
        <v>15662901</v>
      </c>
      <c r="B195" s="1" t="s">
        <v>5</v>
      </c>
      <c r="C195" s="1">
        <v>19</v>
      </c>
      <c r="D195" s="1">
        <v>70000</v>
      </c>
      <c r="E195" s="1">
        <v>0</v>
      </c>
    </row>
    <row r="196" spans="1:8" x14ac:dyDescent="0.25">
      <c r="A196" s="1">
        <v>15689751</v>
      </c>
      <c r="B196" s="1" t="s">
        <v>5</v>
      </c>
      <c r="C196" s="1">
        <v>28</v>
      </c>
      <c r="D196" s="1">
        <v>89000</v>
      </c>
      <c r="E196" s="1">
        <v>0</v>
      </c>
      <c r="G196" s="13" t="s">
        <v>95</v>
      </c>
      <c r="H196" s="13">
        <f>COUNTIFS(B:B, "Female", C:C, "&gt;=31", C:C, "&lt;=40", D:D, "&gt;=123000", D:D, "&lt;=149999", E:E, "1")</f>
        <v>8</v>
      </c>
    </row>
    <row r="197" spans="1:8" x14ac:dyDescent="0.25">
      <c r="A197" s="1">
        <v>15667742</v>
      </c>
      <c r="B197" s="1" t="s">
        <v>5</v>
      </c>
      <c r="C197" s="1">
        <v>34</v>
      </c>
      <c r="D197" s="1">
        <v>43000</v>
      </c>
      <c r="E197" s="1">
        <v>0</v>
      </c>
      <c r="G197" s="13" t="s">
        <v>96</v>
      </c>
      <c r="H197" s="13">
        <f>COUNTIFS(B:B, "Female", C:C, "&gt;=31", C:C, "&lt;=40", D:D, "&gt;=123000", D:D, "&lt;=149999", E:E, "0")</f>
        <v>0</v>
      </c>
    </row>
    <row r="198" spans="1:8" x14ac:dyDescent="0.25">
      <c r="A198" s="1">
        <v>15738448</v>
      </c>
      <c r="B198" s="1" t="s">
        <v>6</v>
      </c>
      <c r="C198" s="1">
        <v>30</v>
      </c>
      <c r="D198" s="1">
        <v>79000</v>
      </c>
      <c r="E198" s="1">
        <v>0</v>
      </c>
    </row>
    <row r="199" spans="1:8" x14ac:dyDescent="0.25">
      <c r="A199" s="1">
        <v>15680243</v>
      </c>
      <c r="B199" s="1" t="s">
        <v>6</v>
      </c>
      <c r="C199" s="1">
        <v>20</v>
      </c>
      <c r="D199" s="1">
        <v>36000</v>
      </c>
      <c r="E199" s="1">
        <v>0</v>
      </c>
    </row>
    <row r="200" spans="1:8" x14ac:dyDescent="0.25">
      <c r="A200" s="1">
        <v>15745083</v>
      </c>
      <c r="B200" s="1" t="s">
        <v>5</v>
      </c>
      <c r="C200" s="1">
        <v>26</v>
      </c>
      <c r="D200" s="1">
        <v>80000</v>
      </c>
      <c r="E200" s="1">
        <v>0</v>
      </c>
      <c r="G200" s="13" t="s">
        <v>97</v>
      </c>
      <c r="H200" s="13">
        <f>COUNTIFS(B:B, "Female", C:C, "&gt;=31", C:C, "&lt;=40", D:D, "&gt;=150000", D:D, "&lt;=176999", E:E, "1")</f>
        <v>1</v>
      </c>
    </row>
    <row r="201" spans="1:8" x14ac:dyDescent="0.25">
      <c r="A201" s="1">
        <v>15708228</v>
      </c>
      <c r="B201" s="1" t="s">
        <v>5</v>
      </c>
      <c r="C201" s="1">
        <v>35</v>
      </c>
      <c r="D201" s="1">
        <v>22000</v>
      </c>
      <c r="E201" s="1">
        <v>0</v>
      </c>
      <c r="G201" s="13" t="s">
        <v>98</v>
      </c>
      <c r="H201" s="13">
        <f>COUNTIFS(B:B, "Female", C:C, "&gt;=31", C:C, "&lt;=40", D:D, "&gt;=150000", D:D, "&lt;=176999", E:E, "0")</f>
        <v>0</v>
      </c>
    </row>
    <row r="202" spans="1:8" x14ac:dyDescent="0.25">
      <c r="A202" s="1">
        <v>15628523</v>
      </c>
      <c r="B202" s="1" t="s">
        <v>5</v>
      </c>
      <c r="C202" s="1">
        <v>35</v>
      </c>
      <c r="D202" s="1">
        <v>39000</v>
      </c>
      <c r="E202" s="1">
        <v>0</v>
      </c>
    </row>
    <row r="203" spans="1:8" x14ac:dyDescent="0.25">
      <c r="A203" s="1">
        <v>15708196</v>
      </c>
      <c r="B203" s="1" t="s">
        <v>5</v>
      </c>
      <c r="C203" s="1">
        <v>49</v>
      </c>
      <c r="D203" s="1">
        <v>74000</v>
      </c>
      <c r="E203" s="1">
        <v>0</v>
      </c>
    </row>
    <row r="204" spans="1:8" x14ac:dyDescent="0.25">
      <c r="A204" s="1">
        <v>15735549</v>
      </c>
      <c r="B204" s="1" t="s">
        <v>6</v>
      </c>
      <c r="C204" s="1">
        <v>39</v>
      </c>
      <c r="D204" s="1">
        <v>134000</v>
      </c>
      <c r="E204" s="1">
        <v>1</v>
      </c>
      <c r="G204" s="12" t="s">
        <v>99</v>
      </c>
    </row>
    <row r="205" spans="1:8" x14ac:dyDescent="0.25">
      <c r="A205" s="1">
        <v>15809347</v>
      </c>
      <c r="B205" s="1" t="s">
        <v>6</v>
      </c>
      <c r="C205" s="1">
        <v>41</v>
      </c>
      <c r="D205" s="1">
        <v>71000</v>
      </c>
      <c r="E205" s="1">
        <v>0</v>
      </c>
    </row>
    <row r="206" spans="1:8" x14ac:dyDescent="0.25">
      <c r="A206" s="1">
        <v>15660866</v>
      </c>
      <c r="B206" s="1" t="s">
        <v>6</v>
      </c>
      <c r="C206" s="1">
        <v>58</v>
      </c>
      <c r="D206" s="1">
        <v>101000</v>
      </c>
      <c r="E206" s="1">
        <v>1</v>
      </c>
      <c r="G206" s="13" t="s">
        <v>100</v>
      </c>
      <c r="H206" s="13">
        <f>COUNTIFS(B:B, "Female", C:C, "&gt;=41", C:C, "&lt;=50", D:D, "&gt;=15000", D:D, "&lt;=41999", E:E, "1")</f>
        <v>11</v>
      </c>
    </row>
    <row r="207" spans="1:8" x14ac:dyDescent="0.25">
      <c r="A207" s="1">
        <v>15766609</v>
      </c>
      <c r="B207" s="1" t="s">
        <v>6</v>
      </c>
      <c r="C207" s="1">
        <v>47</v>
      </c>
      <c r="D207" s="1">
        <v>47000</v>
      </c>
      <c r="E207" s="1">
        <v>0</v>
      </c>
      <c r="G207" s="13" t="s">
        <v>101</v>
      </c>
      <c r="H207" s="13">
        <f>COUNTIFS(B:B, "Female", C:C, "&gt;=41", C:C, "&lt;=50", D:D, "&gt;=15000", D:D, "&lt;=41999", E:E, "0")</f>
        <v>3</v>
      </c>
    </row>
    <row r="208" spans="1:8" x14ac:dyDescent="0.25">
      <c r="A208" s="1">
        <v>15654230</v>
      </c>
      <c r="B208" s="1" t="s">
        <v>6</v>
      </c>
      <c r="C208" s="1">
        <v>55</v>
      </c>
      <c r="D208" s="1">
        <v>130000</v>
      </c>
      <c r="E208" s="1">
        <v>1</v>
      </c>
    </row>
    <row r="209" spans="1:8" x14ac:dyDescent="0.25">
      <c r="A209" s="1">
        <v>15794566</v>
      </c>
      <c r="B209" s="1" t="s">
        <v>6</v>
      </c>
      <c r="C209" s="1">
        <v>52</v>
      </c>
      <c r="D209" s="1">
        <v>114000</v>
      </c>
      <c r="E209" s="1">
        <v>0</v>
      </c>
    </row>
    <row r="210" spans="1:8" x14ac:dyDescent="0.25">
      <c r="A210" s="1">
        <v>15800890</v>
      </c>
      <c r="B210" s="1" t="s">
        <v>6</v>
      </c>
      <c r="C210" s="1">
        <v>40</v>
      </c>
      <c r="D210" s="1">
        <v>142000</v>
      </c>
      <c r="E210" s="1">
        <v>1</v>
      </c>
      <c r="G210" s="13" t="s">
        <v>102</v>
      </c>
      <c r="H210" s="13">
        <f>COUNTIFS(B:B, "Female", C:C, "&gt;=41", C:C, "&lt;=50", D:D, "&gt;=42000", D:D, "&lt;=68999", E:E, "1")</f>
        <v>4</v>
      </c>
    </row>
    <row r="211" spans="1:8" x14ac:dyDescent="0.25">
      <c r="A211" s="1">
        <v>15697424</v>
      </c>
      <c r="B211" s="1" t="s">
        <v>6</v>
      </c>
      <c r="C211" s="1">
        <v>46</v>
      </c>
      <c r="D211" s="1">
        <v>22000</v>
      </c>
      <c r="E211" s="1">
        <v>0</v>
      </c>
      <c r="G211" s="13" t="s">
        <v>103</v>
      </c>
      <c r="H211" s="13">
        <f>COUNTIFS(B:B, "Female", C:C, "&gt;=41", C:C, "&lt;=50", D:D, "&gt;=42000", D:D, "&lt;=68999", E:E, "0")</f>
        <v>6</v>
      </c>
    </row>
    <row r="212" spans="1:8" x14ac:dyDescent="0.25">
      <c r="A212" s="1">
        <v>15724536</v>
      </c>
      <c r="B212" s="1" t="s">
        <v>6</v>
      </c>
      <c r="C212" s="1">
        <v>48</v>
      </c>
      <c r="D212" s="1">
        <v>96000</v>
      </c>
      <c r="E212" s="1">
        <v>1</v>
      </c>
    </row>
    <row r="213" spans="1:8" x14ac:dyDescent="0.25">
      <c r="A213" s="1">
        <v>15735878</v>
      </c>
      <c r="B213" s="1" t="s">
        <v>5</v>
      </c>
      <c r="C213" s="1">
        <v>52</v>
      </c>
      <c r="D213" s="1">
        <v>150000</v>
      </c>
      <c r="E213" s="1">
        <v>1</v>
      </c>
    </row>
    <row r="214" spans="1:8" x14ac:dyDescent="0.25">
      <c r="A214" s="1">
        <v>15707596</v>
      </c>
      <c r="B214" s="1" t="s">
        <v>6</v>
      </c>
      <c r="C214" s="1">
        <v>59</v>
      </c>
      <c r="D214" s="1">
        <v>42000</v>
      </c>
      <c r="E214" s="1">
        <v>0</v>
      </c>
      <c r="G214" s="13" t="s">
        <v>104</v>
      </c>
      <c r="H214" s="13">
        <f>COUNTIFS(B:B, "Female", C:C, "&gt;=41", C:C, "&lt;=50", D:D, "&gt;=69000", D:D, "&lt;=95999", E:E, "1")</f>
        <v>3</v>
      </c>
    </row>
    <row r="215" spans="1:8" x14ac:dyDescent="0.25">
      <c r="A215" s="1">
        <v>15657163</v>
      </c>
      <c r="B215" s="1" t="s">
        <v>5</v>
      </c>
      <c r="C215" s="1">
        <v>35</v>
      </c>
      <c r="D215" s="1">
        <v>58000</v>
      </c>
      <c r="E215" s="1">
        <v>0</v>
      </c>
      <c r="G215" s="13" t="s">
        <v>105</v>
      </c>
      <c r="H215" s="13">
        <f>COUNTIFS(B:B, "Female", C:C, "&gt;=41", C:C, "&lt;=50", D:D, "&gt;=69000", D:D, "&lt;=95999", E:E, "0")</f>
        <v>10</v>
      </c>
    </row>
    <row r="216" spans="1:8" x14ac:dyDescent="0.25">
      <c r="A216" s="1">
        <v>15622478</v>
      </c>
      <c r="B216" s="1" t="s">
        <v>5</v>
      </c>
      <c r="C216" s="1">
        <v>47</v>
      </c>
      <c r="D216" s="1">
        <v>43000</v>
      </c>
      <c r="E216" s="1">
        <v>0</v>
      </c>
    </row>
    <row r="217" spans="1:8" x14ac:dyDescent="0.25">
      <c r="A217" s="1">
        <v>15779529</v>
      </c>
      <c r="B217" s="1" t="s">
        <v>6</v>
      </c>
      <c r="C217" s="1">
        <v>60</v>
      </c>
      <c r="D217" s="1">
        <v>108000</v>
      </c>
      <c r="E217" s="1">
        <v>1</v>
      </c>
    </row>
    <row r="218" spans="1:8" x14ac:dyDescent="0.25">
      <c r="A218" s="1">
        <v>15636023</v>
      </c>
      <c r="B218" s="1" t="s">
        <v>5</v>
      </c>
      <c r="C218" s="1">
        <v>49</v>
      </c>
      <c r="D218" s="1">
        <v>65000</v>
      </c>
      <c r="E218" s="1">
        <v>0</v>
      </c>
      <c r="G218" s="13" t="s">
        <v>106</v>
      </c>
      <c r="H218" s="13">
        <f>COUNTIFS(B:B, "Female", C:C, "&gt;=41", C:C, "&lt;=50", D:D, "&gt;=96000", D:D, "&lt;=122999", E:E, "1")</f>
        <v>6</v>
      </c>
    </row>
    <row r="219" spans="1:8" x14ac:dyDescent="0.25">
      <c r="A219" s="1">
        <v>15582066</v>
      </c>
      <c r="B219" s="1" t="s">
        <v>5</v>
      </c>
      <c r="C219" s="1">
        <v>40</v>
      </c>
      <c r="D219" s="1">
        <v>78000</v>
      </c>
      <c r="E219" s="1">
        <v>0</v>
      </c>
      <c r="G219" s="13" t="s">
        <v>107</v>
      </c>
      <c r="H219" s="13">
        <f>COUNTIFS(B:B, "Female", C:C, "&gt;=41", C:C, "&lt;=50", D:D, "&gt;=96000", D:D, "&lt;=122999", E:E, "0")</f>
        <v>1</v>
      </c>
    </row>
    <row r="220" spans="1:8" x14ac:dyDescent="0.25">
      <c r="A220" s="1">
        <v>15666675</v>
      </c>
      <c r="B220" s="1" t="s">
        <v>6</v>
      </c>
      <c r="C220" s="1">
        <v>46</v>
      </c>
      <c r="D220" s="1">
        <v>96000</v>
      </c>
      <c r="E220" s="1">
        <v>0</v>
      </c>
    </row>
    <row r="221" spans="1:8" x14ac:dyDescent="0.25">
      <c r="A221" s="1">
        <v>15732987</v>
      </c>
      <c r="B221" s="1" t="s">
        <v>5</v>
      </c>
      <c r="C221" s="1">
        <v>59</v>
      </c>
      <c r="D221" s="1">
        <v>143000</v>
      </c>
      <c r="E221" s="1">
        <v>1</v>
      </c>
    </row>
    <row r="222" spans="1:8" x14ac:dyDescent="0.25">
      <c r="A222" s="1">
        <v>15789432</v>
      </c>
      <c r="B222" s="1" t="s">
        <v>6</v>
      </c>
      <c r="C222" s="1">
        <v>41</v>
      </c>
      <c r="D222" s="1">
        <v>80000</v>
      </c>
      <c r="E222" s="1">
        <v>0</v>
      </c>
      <c r="G222" s="13" t="s">
        <v>108</v>
      </c>
      <c r="H222" s="13">
        <f>COUNTIFS(B:B, "Female", C:C, "&gt;=41", C:C, "&lt;=50", D:D, "&gt;=123000", D:D, "&lt;=149999", E:E, "1")</f>
        <v>7</v>
      </c>
    </row>
    <row r="223" spans="1:8" x14ac:dyDescent="0.25">
      <c r="A223" s="1">
        <v>15663161</v>
      </c>
      <c r="B223" s="1" t="s">
        <v>5</v>
      </c>
      <c r="C223" s="1">
        <v>35</v>
      </c>
      <c r="D223" s="1">
        <v>91000</v>
      </c>
      <c r="E223" s="1">
        <v>1</v>
      </c>
      <c r="G223" s="13" t="s">
        <v>109</v>
      </c>
      <c r="H223" s="13">
        <f>COUNTIFS(B:B, "Female", C:C, "&gt;=41", C:C, "&lt;=50", D:D, "&gt;=123000", D:D, "&lt;=149999", E:E, "0")</f>
        <v>1</v>
      </c>
    </row>
    <row r="224" spans="1:8" x14ac:dyDescent="0.25">
      <c r="A224" s="1">
        <v>15694879</v>
      </c>
      <c r="B224" s="1" t="s">
        <v>5</v>
      </c>
      <c r="C224" s="1">
        <v>37</v>
      </c>
      <c r="D224" s="1">
        <v>144000</v>
      </c>
      <c r="E224" s="1">
        <v>1</v>
      </c>
    </row>
    <row r="225" spans="1:8" x14ac:dyDescent="0.25">
      <c r="A225" s="1">
        <v>15593715</v>
      </c>
      <c r="B225" s="1" t="s">
        <v>5</v>
      </c>
      <c r="C225" s="1">
        <v>60</v>
      </c>
      <c r="D225" s="1">
        <v>102000</v>
      </c>
      <c r="E225" s="1">
        <v>1</v>
      </c>
    </row>
    <row r="226" spans="1:8" x14ac:dyDescent="0.25">
      <c r="A226" s="1">
        <v>15575002</v>
      </c>
      <c r="B226" s="1" t="s">
        <v>6</v>
      </c>
      <c r="C226" s="1">
        <v>35</v>
      </c>
      <c r="D226" s="1">
        <v>60000</v>
      </c>
      <c r="E226" s="1">
        <v>0</v>
      </c>
      <c r="G226" s="13" t="s">
        <v>110</v>
      </c>
      <c r="H226" s="13">
        <f>COUNTIFS(B:B, "Female", C:C, "&gt;=41", C:C, "&lt;=50", D:D, "&gt;=150000", D:D, "&lt;=176999", E:E, "1")</f>
        <v>0</v>
      </c>
    </row>
    <row r="227" spans="1:8" x14ac:dyDescent="0.25">
      <c r="A227" s="1">
        <v>15622171</v>
      </c>
      <c r="B227" s="1" t="s">
        <v>5</v>
      </c>
      <c r="C227" s="1">
        <v>37</v>
      </c>
      <c r="D227" s="1">
        <v>53000</v>
      </c>
      <c r="E227" s="1">
        <v>0</v>
      </c>
      <c r="G227" s="13" t="s">
        <v>111</v>
      </c>
      <c r="H227" s="13">
        <f>COUNTIFS(B:B, "Female", C:C, "&gt;=41", C:C, "&lt;=50", D:D, "&gt;=150000", D:D, "&lt;=176999", E:E, "0")</f>
        <v>0</v>
      </c>
    </row>
    <row r="228" spans="1:8" x14ac:dyDescent="0.25">
      <c r="A228" s="1">
        <v>15795224</v>
      </c>
      <c r="B228" s="1" t="s">
        <v>6</v>
      </c>
      <c r="C228" s="1">
        <v>36</v>
      </c>
      <c r="D228" s="1">
        <v>126000</v>
      </c>
      <c r="E228" s="1">
        <v>1</v>
      </c>
    </row>
    <row r="229" spans="1:8" x14ac:dyDescent="0.25">
      <c r="A229" s="1">
        <v>15685346</v>
      </c>
      <c r="B229" s="1" t="s">
        <v>5</v>
      </c>
      <c r="C229" s="1">
        <v>56</v>
      </c>
      <c r="D229" s="1">
        <v>133000</v>
      </c>
      <c r="E229" s="1">
        <v>1</v>
      </c>
    </row>
    <row r="230" spans="1:8" x14ac:dyDescent="0.25">
      <c r="A230" s="1">
        <v>15691808</v>
      </c>
      <c r="B230" s="1" t="s">
        <v>6</v>
      </c>
      <c r="C230" s="1">
        <v>40</v>
      </c>
      <c r="D230" s="1">
        <v>72000</v>
      </c>
      <c r="E230" s="1">
        <v>0</v>
      </c>
      <c r="G230" s="12" t="s">
        <v>112</v>
      </c>
    </row>
    <row r="231" spans="1:8" x14ac:dyDescent="0.25">
      <c r="A231" s="1">
        <v>15721007</v>
      </c>
      <c r="B231" s="1" t="s">
        <v>6</v>
      </c>
      <c r="C231" s="1">
        <v>42</v>
      </c>
      <c r="D231" s="1">
        <v>80000</v>
      </c>
      <c r="E231" s="1">
        <v>1</v>
      </c>
    </row>
    <row r="232" spans="1:8" x14ac:dyDescent="0.25">
      <c r="A232" s="1">
        <v>15794253</v>
      </c>
      <c r="B232" s="1" t="s">
        <v>6</v>
      </c>
      <c r="C232" s="1">
        <v>35</v>
      </c>
      <c r="D232" s="1">
        <v>147000</v>
      </c>
      <c r="E232" s="1">
        <v>1</v>
      </c>
      <c r="G232" s="13" t="s">
        <v>113</v>
      </c>
      <c r="H232" s="13">
        <f>COUNTIFS(B:B, "Female", C:C, "&gt;=51", C:C, "&lt;=60", D:D, "&gt;=15000", D:D, "&lt;=41999", E:E, "1")</f>
        <v>9</v>
      </c>
    </row>
    <row r="233" spans="1:8" x14ac:dyDescent="0.25">
      <c r="A233" s="1">
        <v>15694453</v>
      </c>
      <c r="B233" s="1" t="s">
        <v>5</v>
      </c>
      <c r="C233" s="1">
        <v>39</v>
      </c>
      <c r="D233" s="1">
        <v>42000</v>
      </c>
      <c r="E233" s="1">
        <v>0</v>
      </c>
      <c r="G233" s="13" t="s">
        <v>114</v>
      </c>
      <c r="H233" s="13">
        <f>COUNTIFS(B:B, "Female", C:C, "&gt;=51", C:C, "&lt;=60", D:D, "&gt;=15000", D:D, "&lt;=41999", E:E, "0")</f>
        <v>0</v>
      </c>
    </row>
    <row r="234" spans="1:8" x14ac:dyDescent="0.25">
      <c r="A234" s="1">
        <v>15813113</v>
      </c>
      <c r="B234" s="1" t="s">
        <v>5</v>
      </c>
      <c r="C234" s="1">
        <v>40</v>
      </c>
      <c r="D234" s="1">
        <v>107000</v>
      </c>
      <c r="E234" s="1">
        <v>1</v>
      </c>
    </row>
    <row r="235" spans="1:8" x14ac:dyDescent="0.25">
      <c r="A235" s="1">
        <v>15614187</v>
      </c>
      <c r="B235" s="1" t="s">
        <v>5</v>
      </c>
      <c r="C235" s="1">
        <v>49</v>
      </c>
      <c r="D235" s="1">
        <v>86000</v>
      </c>
      <c r="E235" s="1">
        <v>1</v>
      </c>
    </row>
    <row r="236" spans="1:8" x14ac:dyDescent="0.25">
      <c r="A236" s="1">
        <v>15619407</v>
      </c>
      <c r="B236" s="1" t="s">
        <v>6</v>
      </c>
      <c r="C236" s="1">
        <v>38</v>
      </c>
      <c r="D236" s="1">
        <v>112000</v>
      </c>
      <c r="E236" s="1">
        <v>0</v>
      </c>
      <c r="G236" s="13" t="s">
        <v>115</v>
      </c>
      <c r="H236" s="13">
        <f>COUNTIFS(B:B, "Female", C:C, "&gt;=51", C:C, "&lt;=60", D:D, "&gt;=42000", D:D, "&lt;=68999", E:E, "1")</f>
        <v>2</v>
      </c>
    </row>
    <row r="237" spans="1:8" x14ac:dyDescent="0.25">
      <c r="A237" s="1">
        <v>15646227</v>
      </c>
      <c r="B237" s="1" t="s">
        <v>5</v>
      </c>
      <c r="C237" s="1">
        <v>46</v>
      </c>
      <c r="D237" s="1">
        <v>79000</v>
      </c>
      <c r="E237" s="1">
        <v>1</v>
      </c>
      <c r="G237" s="13" t="s">
        <v>116</v>
      </c>
      <c r="H237" s="13">
        <f>COUNTIFS(B:B, "Female", C:C, "&gt;=51", C:C, "&lt;=60", D:D, "&gt;=42000", D:D, "&lt;=68999", E:E, "0")</f>
        <v>1</v>
      </c>
    </row>
    <row r="238" spans="1:8" x14ac:dyDescent="0.25">
      <c r="A238" s="1">
        <v>15660541</v>
      </c>
      <c r="B238" s="1" t="s">
        <v>5</v>
      </c>
      <c r="C238" s="1">
        <v>40</v>
      </c>
      <c r="D238" s="1">
        <v>57000</v>
      </c>
      <c r="E238" s="1">
        <v>0</v>
      </c>
    </row>
    <row r="239" spans="1:8" x14ac:dyDescent="0.25">
      <c r="A239" s="1">
        <v>15753874</v>
      </c>
      <c r="B239" s="1" t="s">
        <v>6</v>
      </c>
      <c r="C239" s="1">
        <v>37</v>
      </c>
      <c r="D239" s="1">
        <v>80000</v>
      </c>
      <c r="E239" s="1">
        <v>0</v>
      </c>
    </row>
    <row r="240" spans="1:8" x14ac:dyDescent="0.25">
      <c r="A240" s="1">
        <v>15617877</v>
      </c>
      <c r="B240" s="1" t="s">
        <v>6</v>
      </c>
      <c r="C240" s="1">
        <v>46</v>
      </c>
      <c r="D240" s="1">
        <v>82000</v>
      </c>
      <c r="E240" s="1">
        <v>0</v>
      </c>
      <c r="G240" s="13" t="s">
        <v>117</v>
      </c>
      <c r="H240" s="13">
        <f>COUNTIFS(B:B, "Female", C:C, "&gt;=51", C:C, "&lt;=60", D:D, "&gt;=69000", D:D, "&lt;=95999", E:E, "1")</f>
        <v>5</v>
      </c>
    </row>
    <row r="241" spans="1:8" x14ac:dyDescent="0.25">
      <c r="A241" s="1">
        <v>15772073</v>
      </c>
      <c r="B241" s="1" t="s">
        <v>6</v>
      </c>
      <c r="C241" s="1">
        <v>53</v>
      </c>
      <c r="D241" s="1">
        <v>143000</v>
      </c>
      <c r="E241" s="1">
        <v>1</v>
      </c>
      <c r="G241" s="13" t="s">
        <v>118</v>
      </c>
      <c r="H241" s="13">
        <f>COUNTIFS(B:B, "Female", C:C, "&gt;=51", C:C, "&lt;=60", D:D, "&gt;=69000", D:D, "&lt;=95999", E:E, "0")</f>
        <v>1</v>
      </c>
    </row>
    <row r="242" spans="1:8" x14ac:dyDescent="0.25">
      <c r="A242" s="1">
        <v>15701537</v>
      </c>
      <c r="B242" s="1" t="s">
        <v>5</v>
      </c>
      <c r="C242" s="1">
        <v>42</v>
      </c>
      <c r="D242" s="1">
        <v>149000</v>
      </c>
      <c r="E242" s="1">
        <v>1</v>
      </c>
    </row>
    <row r="243" spans="1:8" x14ac:dyDescent="0.25">
      <c r="A243" s="1">
        <v>15736228</v>
      </c>
      <c r="B243" s="1" t="s">
        <v>5</v>
      </c>
      <c r="C243" s="1">
        <v>38</v>
      </c>
      <c r="D243" s="1">
        <v>59000</v>
      </c>
      <c r="E243" s="1">
        <v>0</v>
      </c>
    </row>
    <row r="244" spans="1:8" x14ac:dyDescent="0.25">
      <c r="A244" s="1">
        <v>15780572</v>
      </c>
      <c r="B244" s="1" t="s">
        <v>6</v>
      </c>
      <c r="C244" s="1">
        <v>50</v>
      </c>
      <c r="D244" s="1">
        <v>88000</v>
      </c>
      <c r="E244" s="1">
        <v>1</v>
      </c>
      <c r="G244" s="13" t="s">
        <v>119</v>
      </c>
      <c r="H244" s="13">
        <f>COUNTIFS(B:B, "Female", C:C, "&gt;=51", C:C, "&lt;=60", D:D, "&gt;=96000", D:D, "&lt;=122999", E:E, "1")</f>
        <v>7</v>
      </c>
    </row>
    <row r="245" spans="1:8" x14ac:dyDescent="0.25">
      <c r="A245" s="1">
        <v>15769596</v>
      </c>
      <c r="B245" s="1" t="s">
        <v>6</v>
      </c>
      <c r="C245" s="1">
        <v>56</v>
      </c>
      <c r="D245" s="1">
        <v>104000</v>
      </c>
      <c r="E245" s="1">
        <v>1</v>
      </c>
      <c r="G245" s="13" t="s">
        <v>120</v>
      </c>
      <c r="H245" s="13">
        <f>COUNTIFS(B:B, "Female", C:C, "&gt;=51", C:C, "&lt;=60", D:D, "&gt;=96000", D:D, "&lt;=122999", E:E, "0")</f>
        <v>1</v>
      </c>
    </row>
    <row r="246" spans="1:8" x14ac:dyDescent="0.25">
      <c r="A246" s="1">
        <v>15586996</v>
      </c>
      <c r="B246" s="1" t="s">
        <v>6</v>
      </c>
      <c r="C246" s="1">
        <v>41</v>
      </c>
      <c r="D246" s="1">
        <v>72000</v>
      </c>
      <c r="E246" s="1">
        <v>0</v>
      </c>
    </row>
    <row r="247" spans="1:8" x14ac:dyDescent="0.25">
      <c r="A247" s="1">
        <v>15722061</v>
      </c>
      <c r="B247" s="1" t="s">
        <v>6</v>
      </c>
      <c r="C247" s="1">
        <v>51</v>
      </c>
      <c r="D247" s="1">
        <v>146000</v>
      </c>
      <c r="E247" s="1">
        <v>1</v>
      </c>
    </row>
    <row r="248" spans="1:8" x14ac:dyDescent="0.25">
      <c r="A248" s="1">
        <v>15638003</v>
      </c>
      <c r="B248" s="1" t="s">
        <v>6</v>
      </c>
      <c r="C248" s="1">
        <v>35</v>
      </c>
      <c r="D248" s="1">
        <v>50000</v>
      </c>
      <c r="E248" s="1">
        <v>0</v>
      </c>
      <c r="G248" s="13" t="s">
        <v>121</v>
      </c>
      <c r="H248" s="13">
        <f>COUNTIFS(B:B, "Female", C:C, "&gt;=51", C:C, "&lt;=60", D:D, "&gt;=123000", D:D, "&lt;=149999", E:E, "1")</f>
        <v>5</v>
      </c>
    </row>
    <row r="249" spans="1:8" x14ac:dyDescent="0.25">
      <c r="A249" s="1">
        <v>15775590</v>
      </c>
      <c r="B249" s="1" t="s">
        <v>6</v>
      </c>
      <c r="C249" s="1">
        <v>57</v>
      </c>
      <c r="D249" s="1">
        <v>122000</v>
      </c>
      <c r="E249" s="1">
        <v>1</v>
      </c>
      <c r="G249" s="13" t="s">
        <v>122</v>
      </c>
      <c r="H249" s="13">
        <f>COUNTIFS(B:B, "Female", C:C, "&gt;=51", C:C, "&lt;=60", D:D, "&gt;=123000", D:D, "&lt;=149999", E:E, "0")</f>
        <v>1</v>
      </c>
    </row>
    <row r="250" spans="1:8" x14ac:dyDescent="0.25">
      <c r="A250" s="1">
        <v>15730688</v>
      </c>
      <c r="B250" s="1" t="s">
        <v>5</v>
      </c>
      <c r="C250" s="1">
        <v>41</v>
      </c>
      <c r="D250" s="1">
        <v>52000</v>
      </c>
      <c r="E250" s="1">
        <v>0</v>
      </c>
    </row>
    <row r="251" spans="1:8" x14ac:dyDescent="0.25">
      <c r="A251" s="1">
        <v>15753102</v>
      </c>
      <c r="B251" s="1" t="s">
        <v>6</v>
      </c>
      <c r="C251" s="1">
        <v>35</v>
      </c>
      <c r="D251" s="1">
        <v>97000</v>
      </c>
      <c r="E251" s="1">
        <v>1</v>
      </c>
    </row>
    <row r="252" spans="1:8" x14ac:dyDescent="0.25">
      <c r="A252" s="1">
        <v>15810075</v>
      </c>
      <c r="B252" s="1" t="s">
        <v>6</v>
      </c>
      <c r="C252" s="1">
        <v>44</v>
      </c>
      <c r="D252" s="1">
        <v>39000</v>
      </c>
      <c r="E252" s="1">
        <v>0</v>
      </c>
      <c r="G252" s="13" t="s">
        <v>123</v>
      </c>
      <c r="H252" s="13">
        <f>COUNTIFS(B:B, "Female", C:C, "&gt;=51", C:C, "&lt;=60", D:D, "&gt;=150000", D:D, "&lt;=176999", E:E, "1")</f>
        <v>0</v>
      </c>
    </row>
    <row r="253" spans="1:8" x14ac:dyDescent="0.25">
      <c r="A253" s="1">
        <v>15723373</v>
      </c>
      <c r="B253" s="1" t="s">
        <v>5</v>
      </c>
      <c r="C253" s="1">
        <v>37</v>
      </c>
      <c r="D253" s="1">
        <v>52000</v>
      </c>
      <c r="E253" s="1">
        <v>0</v>
      </c>
      <c r="G253" s="13" t="s">
        <v>124</v>
      </c>
      <c r="H253" s="13">
        <f>COUNTIFS(B:B, "Female", C:C, "&gt;=51", C:C, "&lt;=60", D:D, "&gt;=150000", D:D, "&lt;=176999", E:E, "0")</f>
        <v>0</v>
      </c>
    </row>
    <row r="254" spans="1:8" x14ac:dyDescent="0.25">
      <c r="A254" s="1">
        <v>15795298</v>
      </c>
      <c r="B254" s="1" t="s">
        <v>6</v>
      </c>
      <c r="C254" s="1">
        <v>48</v>
      </c>
      <c r="D254" s="1">
        <v>134000</v>
      </c>
      <c r="E254" s="1">
        <v>1</v>
      </c>
    </row>
    <row r="255" spans="1:8" x14ac:dyDescent="0.25">
      <c r="A255" s="1">
        <v>15584320</v>
      </c>
      <c r="B255" s="1" t="s">
        <v>6</v>
      </c>
      <c r="C255" s="1">
        <v>37</v>
      </c>
      <c r="D255" s="1">
        <v>146000</v>
      </c>
      <c r="E255" s="1">
        <v>1</v>
      </c>
    </row>
    <row r="256" spans="1:8" x14ac:dyDescent="0.25">
      <c r="A256" s="1">
        <v>15724161</v>
      </c>
      <c r="B256" s="1" t="s">
        <v>6</v>
      </c>
      <c r="C256" s="1">
        <v>50</v>
      </c>
      <c r="D256" s="1">
        <v>44000</v>
      </c>
      <c r="E256" s="1">
        <v>0</v>
      </c>
    </row>
    <row r="257" spans="1:5" x14ac:dyDescent="0.25">
      <c r="A257" s="1">
        <v>15750056</v>
      </c>
      <c r="B257" s="1" t="s">
        <v>6</v>
      </c>
      <c r="C257" s="1">
        <v>52</v>
      </c>
      <c r="D257" s="1">
        <v>90000</v>
      </c>
      <c r="E257" s="1">
        <v>1</v>
      </c>
    </row>
    <row r="258" spans="1:5" x14ac:dyDescent="0.25">
      <c r="A258" s="1">
        <v>15609637</v>
      </c>
      <c r="B258" s="1" t="s">
        <v>6</v>
      </c>
      <c r="C258" s="1">
        <v>41</v>
      </c>
      <c r="D258" s="1">
        <v>72000</v>
      </c>
      <c r="E258" s="1">
        <v>0</v>
      </c>
    </row>
    <row r="259" spans="1:5" x14ac:dyDescent="0.25">
      <c r="A259" s="1">
        <v>15794493</v>
      </c>
      <c r="B259" s="1" t="s">
        <v>5</v>
      </c>
      <c r="C259" s="1">
        <v>40</v>
      </c>
      <c r="D259" s="1">
        <v>57000</v>
      </c>
      <c r="E259" s="1">
        <v>0</v>
      </c>
    </row>
    <row r="260" spans="1:5" x14ac:dyDescent="0.25">
      <c r="A260" s="1">
        <v>15569641</v>
      </c>
      <c r="B260" s="1" t="s">
        <v>6</v>
      </c>
      <c r="C260" s="1">
        <v>58</v>
      </c>
      <c r="D260" s="1">
        <v>95000</v>
      </c>
      <c r="E260" s="1">
        <v>1</v>
      </c>
    </row>
    <row r="261" spans="1:5" x14ac:dyDescent="0.25">
      <c r="A261" s="1">
        <v>15815236</v>
      </c>
      <c r="B261" s="1" t="s">
        <v>6</v>
      </c>
      <c r="C261" s="1">
        <v>45</v>
      </c>
      <c r="D261" s="1">
        <v>131000</v>
      </c>
      <c r="E261" s="1">
        <v>1</v>
      </c>
    </row>
    <row r="262" spans="1:5" x14ac:dyDescent="0.25">
      <c r="A262" s="1">
        <v>15811177</v>
      </c>
      <c r="B262" s="1" t="s">
        <v>6</v>
      </c>
      <c r="C262" s="1">
        <v>35</v>
      </c>
      <c r="D262" s="1">
        <v>77000</v>
      </c>
      <c r="E262" s="1">
        <v>0</v>
      </c>
    </row>
    <row r="263" spans="1:5" x14ac:dyDescent="0.25">
      <c r="A263" s="1">
        <v>15680587</v>
      </c>
      <c r="B263" s="1" t="s">
        <v>5</v>
      </c>
      <c r="C263" s="1">
        <v>36</v>
      </c>
      <c r="D263" s="1">
        <v>144000</v>
      </c>
      <c r="E263" s="1">
        <v>1</v>
      </c>
    </row>
    <row r="264" spans="1:5" x14ac:dyDescent="0.25">
      <c r="A264" s="1">
        <v>15672821</v>
      </c>
      <c r="B264" s="1" t="s">
        <v>6</v>
      </c>
      <c r="C264" s="1">
        <v>55</v>
      </c>
      <c r="D264" s="1">
        <v>125000</v>
      </c>
      <c r="E264" s="1">
        <v>1</v>
      </c>
    </row>
    <row r="265" spans="1:5" x14ac:dyDescent="0.25">
      <c r="A265" s="1">
        <v>15767681</v>
      </c>
      <c r="B265" s="1" t="s">
        <v>6</v>
      </c>
      <c r="C265" s="1">
        <v>35</v>
      </c>
      <c r="D265" s="1">
        <v>72000</v>
      </c>
      <c r="E265" s="1">
        <v>0</v>
      </c>
    </row>
    <row r="266" spans="1:5" x14ac:dyDescent="0.25">
      <c r="A266" s="1">
        <v>15600379</v>
      </c>
      <c r="B266" s="1" t="s">
        <v>5</v>
      </c>
      <c r="C266" s="1">
        <v>48</v>
      </c>
      <c r="D266" s="1">
        <v>90000</v>
      </c>
      <c r="E266" s="1">
        <v>1</v>
      </c>
    </row>
    <row r="267" spans="1:5" x14ac:dyDescent="0.25">
      <c r="A267" s="1">
        <v>15801336</v>
      </c>
      <c r="B267" s="1" t="s">
        <v>6</v>
      </c>
      <c r="C267" s="1">
        <v>42</v>
      </c>
      <c r="D267" s="1">
        <v>108000</v>
      </c>
      <c r="E267" s="1">
        <v>1</v>
      </c>
    </row>
    <row r="268" spans="1:5" x14ac:dyDescent="0.25">
      <c r="A268" s="1">
        <v>15721592</v>
      </c>
      <c r="B268" s="1" t="s">
        <v>5</v>
      </c>
      <c r="C268" s="1">
        <v>40</v>
      </c>
      <c r="D268" s="1">
        <v>75000</v>
      </c>
      <c r="E268" s="1">
        <v>0</v>
      </c>
    </row>
    <row r="269" spans="1:5" x14ac:dyDescent="0.25">
      <c r="A269" s="1">
        <v>15581282</v>
      </c>
      <c r="B269" s="1" t="s">
        <v>5</v>
      </c>
      <c r="C269" s="1">
        <v>37</v>
      </c>
      <c r="D269" s="1">
        <v>74000</v>
      </c>
      <c r="E269" s="1">
        <v>0</v>
      </c>
    </row>
    <row r="270" spans="1:5" x14ac:dyDescent="0.25">
      <c r="A270" s="1">
        <v>15746203</v>
      </c>
      <c r="B270" s="1" t="s">
        <v>6</v>
      </c>
      <c r="C270" s="1">
        <v>47</v>
      </c>
      <c r="D270" s="1">
        <v>144000</v>
      </c>
      <c r="E270" s="1">
        <v>1</v>
      </c>
    </row>
    <row r="271" spans="1:5" x14ac:dyDescent="0.25">
      <c r="A271" s="1">
        <v>15583137</v>
      </c>
      <c r="B271" s="1" t="s">
        <v>5</v>
      </c>
      <c r="C271" s="1">
        <v>40</v>
      </c>
      <c r="D271" s="1">
        <v>61000</v>
      </c>
      <c r="E271" s="1">
        <v>0</v>
      </c>
    </row>
    <row r="272" spans="1:5" x14ac:dyDescent="0.25">
      <c r="A272" s="1">
        <v>15680752</v>
      </c>
      <c r="B272" s="1" t="s">
        <v>6</v>
      </c>
      <c r="C272" s="1">
        <v>43</v>
      </c>
      <c r="D272" s="1">
        <v>133000</v>
      </c>
      <c r="E272" s="1">
        <v>0</v>
      </c>
    </row>
    <row r="273" spans="1:5" x14ac:dyDescent="0.25">
      <c r="A273" s="1">
        <v>15688172</v>
      </c>
      <c r="B273" s="1" t="s">
        <v>6</v>
      </c>
      <c r="C273" s="1">
        <v>59</v>
      </c>
      <c r="D273" s="1">
        <v>76000</v>
      </c>
      <c r="E273" s="1">
        <v>1</v>
      </c>
    </row>
    <row r="274" spans="1:5" x14ac:dyDescent="0.25">
      <c r="A274" s="1">
        <v>15791373</v>
      </c>
      <c r="B274" s="1" t="s">
        <v>5</v>
      </c>
      <c r="C274" s="1">
        <v>60</v>
      </c>
      <c r="D274" s="1">
        <v>42000</v>
      </c>
      <c r="E274" s="1">
        <v>1</v>
      </c>
    </row>
    <row r="275" spans="1:5" x14ac:dyDescent="0.25">
      <c r="A275" s="1">
        <v>15589449</v>
      </c>
      <c r="B275" s="1" t="s">
        <v>5</v>
      </c>
      <c r="C275" s="1">
        <v>39</v>
      </c>
      <c r="D275" s="1">
        <v>106000</v>
      </c>
      <c r="E275" s="1">
        <v>1</v>
      </c>
    </row>
    <row r="276" spans="1:5" x14ac:dyDescent="0.25">
      <c r="A276" s="1">
        <v>15692819</v>
      </c>
      <c r="B276" s="1" t="s">
        <v>6</v>
      </c>
      <c r="C276" s="1">
        <v>57</v>
      </c>
      <c r="D276" s="1">
        <v>26000</v>
      </c>
      <c r="E276" s="1">
        <v>1</v>
      </c>
    </row>
    <row r="277" spans="1:5" x14ac:dyDescent="0.25">
      <c r="A277" s="1">
        <v>15727467</v>
      </c>
      <c r="B277" s="1" t="s">
        <v>5</v>
      </c>
      <c r="C277" s="1">
        <v>57</v>
      </c>
      <c r="D277" s="1">
        <v>74000</v>
      </c>
      <c r="E277" s="1">
        <v>1</v>
      </c>
    </row>
    <row r="278" spans="1:5" x14ac:dyDescent="0.25">
      <c r="A278" s="1">
        <v>15734312</v>
      </c>
      <c r="B278" s="1" t="s">
        <v>5</v>
      </c>
      <c r="C278" s="1">
        <v>38</v>
      </c>
      <c r="D278" s="1">
        <v>71000</v>
      </c>
      <c r="E278" s="1">
        <v>0</v>
      </c>
    </row>
    <row r="279" spans="1:5" x14ac:dyDescent="0.25">
      <c r="A279" s="1">
        <v>15764604</v>
      </c>
      <c r="B279" s="1" t="s">
        <v>5</v>
      </c>
      <c r="C279" s="1">
        <v>49</v>
      </c>
      <c r="D279" s="1">
        <v>88000</v>
      </c>
      <c r="E279" s="1">
        <v>1</v>
      </c>
    </row>
    <row r="280" spans="1:5" x14ac:dyDescent="0.25">
      <c r="A280" s="1">
        <v>15613014</v>
      </c>
      <c r="B280" s="1" t="s">
        <v>6</v>
      </c>
      <c r="C280" s="1">
        <v>52</v>
      </c>
      <c r="D280" s="1">
        <v>38000</v>
      </c>
      <c r="E280" s="1">
        <v>1</v>
      </c>
    </row>
    <row r="281" spans="1:5" x14ac:dyDescent="0.25">
      <c r="A281" s="1">
        <v>15759684</v>
      </c>
      <c r="B281" s="1" t="s">
        <v>6</v>
      </c>
      <c r="C281" s="1">
        <v>50</v>
      </c>
      <c r="D281" s="1">
        <v>36000</v>
      </c>
      <c r="E281" s="1">
        <v>1</v>
      </c>
    </row>
    <row r="282" spans="1:5" x14ac:dyDescent="0.25">
      <c r="A282" s="1">
        <v>15609669</v>
      </c>
      <c r="B282" s="1" t="s">
        <v>6</v>
      </c>
      <c r="C282" s="1">
        <v>59</v>
      </c>
      <c r="D282" s="1">
        <v>88000</v>
      </c>
      <c r="E282" s="1">
        <v>1</v>
      </c>
    </row>
    <row r="283" spans="1:5" x14ac:dyDescent="0.25">
      <c r="A283" s="1">
        <v>15685536</v>
      </c>
      <c r="B283" s="1" t="s">
        <v>5</v>
      </c>
      <c r="C283" s="1">
        <v>35</v>
      </c>
      <c r="D283" s="1">
        <v>61000</v>
      </c>
      <c r="E283" s="1">
        <v>0</v>
      </c>
    </row>
    <row r="284" spans="1:5" x14ac:dyDescent="0.25">
      <c r="A284" s="1">
        <v>15750447</v>
      </c>
      <c r="B284" s="1" t="s">
        <v>5</v>
      </c>
      <c r="C284" s="1">
        <v>37</v>
      </c>
      <c r="D284" s="1">
        <v>70000</v>
      </c>
      <c r="E284" s="1">
        <v>1</v>
      </c>
    </row>
    <row r="285" spans="1:5" x14ac:dyDescent="0.25">
      <c r="A285" s="1">
        <v>15663249</v>
      </c>
      <c r="B285" s="1" t="s">
        <v>6</v>
      </c>
      <c r="C285" s="1">
        <v>52</v>
      </c>
      <c r="D285" s="1">
        <v>21000</v>
      </c>
      <c r="E285" s="1">
        <v>1</v>
      </c>
    </row>
    <row r="286" spans="1:5" x14ac:dyDescent="0.25">
      <c r="A286" s="1">
        <v>15638646</v>
      </c>
      <c r="B286" s="1" t="s">
        <v>5</v>
      </c>
      <c r="C286" s="1">
        <v>48</v>
      </c>
      <c r="D286" s="1">
        <v>141000</v>
      </c>
      <c r="E286" s="1">
        <v>0</v>
      </c>
    </row>
    <row r="287" spans="1:5" x14ac:dyDescent="0.25">
      <c r="A287" s="1">
        <v>15734161</v>
      </c>
      <c r="B287" s="1" t="s">
        <v>6</v>
      </c>
      <c r="C287" s="1">
        <v>37</v>
      </c>
      <c r="D287" s="1">
        <v>93000</v>
      </c>
      <c r="E287" s="1">
        <v>1</v>
      </c>
    </row>
    <row r="288" spans="1:5" x14ac:dyDescent="0.25">
      <c r="A288" s="1">
        <v>15631070</v>
      </c>
      <c r="B288" s="1" t="s">
        <v>6</v>
      </c>
      <c r="C288" s="1">
        <v>37</v>
      </c>
      <c r="D288" s="1">
        <v>62000</v>
      </c>
      <c r="E288" s="1">
        <v>0</v>
      </c>
    </row>
    <row r="289" spans="1:5" x14ac:dyDescent="0.25">
      <c r="A289" s="1">
        <v>15761950</v>
      </c>
      <c r="B289" s="1" t="s">
        <v>6</v>
      </c>
      <c r="C289" s="1">
        <v>48</v>
      </c>
      <c r="D289" s="1">
        <v>138000</v>
      </c>
      <c r="E289" s="1">
        <v>1</v>
      </c>
    </row>
    <row r="290" spans="1:5" x14ac:dyDescent="0.25">
      <c r="A290" s="1">
        <v>15649668</v>
      </c>
      <c r="B290" s="1" t="s">
        <v>5</v>
      </c>
      <c r="C290" s="1">
        <v>41</v>
      </c>
      <c r="D290" s="1">
        <v>79000</v>
      </c>
      <c r="E290" s="1">
        <v>0</v>
      </c>
    </row>
    <row r="291" spans="1:5" x14ac:dyDescent="0.25">
      <c r="A291" s="1">
        <v>15713912</v>
      </c>
      <c r="B291" s="1" t="s">
        <v>6</v>
      </c>
      <c r="C291" s="1">
        <v>37</v>
      </c>
      <c r="D291" s="1">
        <v>78000</v>
      </c>
      <c r="E291" s="1">
        <v>1</v>
      </c>
    </row>
    <row r="292" spans="1:5" x14ac:dyDescent="0.25">
      <c r="A292" s="1">
        <v>15586757</v>
      </c>
      <c r="B292" s="1" t="s">
        <v>5</v>
      </c>
      <c r="C292" s="1">
        <v>39</v>
      </c>
      <c r="D292" s="1">
        <v>134000</v>
      </c>
      <c r="E292" s="1">
        <v>1</v>
      </c>
    </row>
    <row r="293" spans="1:5" x14ac:dyDescent="0.25">
      <c r="A293" s="1">
        <v>15596522</v>
      </c>
      <c r="B293" s="1" t="s">
        <v>5</v>
      </c>
      <c r="C293" s="1">
        <v>49</v>
      </c>
      <c r="D293" s="1">
        <v>89000</v>
      </c>
      <c r="E293" s="1">
        <v>1</v>
      </c>
    </row>
    <row r="294" spans="1:5" x14ac:dyDescent="0.25">
      <c r="A294" s="1">
        <v>15625395</v>
      </c>
      <c r="B294" s="1" t="s">
        <v>5</v>
      </c>
      <c r="C294" s="1">
        <v>55</v>
      </c>
      <c r="D294" s="1">
        <v>39000</v>
      </c>
      <c r="E294" s="1">
        <v>1</v>
      </c>
    </row>
    <row r="295" spans="1:5" x14ac:dyDescent="0.25">
      <c r="A295" s="1">
        <v>15760570</v>
      </c>
      <c r="B295" s="1" t="s">
        <v>5</v>
      </c>
      <c r="C295" s="1">
        <v>37</v>
      </c>
      <c r="D295" s="1">
        <v>77000</v>
      </c>
      <c r="E295" s="1">
        <v>0</v>
      </c>
    </row>
    <row r="296" spans="1:5" x14ac:dyDescent="0.25">
      <c r="A296" s="1">
        <v>15566689</v>
      </c>
      <c r="B296" s="1" t="s">
        <v>6</v>
      </c>
      <c r="C296" s="1">
        <v>35</v>
      </c>
      <c r="D296" s="1">
        <v>57000</v>
      </c>
      <c r="E296" s="1">
        <v>0</v>
      </c>
    </row>
    <row r="297" spans="1:5" x14ac:dyDescent="0.25">
      <c r="A297" s="1">
        <v>15725794</v>
      </c>
      <c r="B297" s="1" t="s">
        <v>6</v>
      </c>
      <c r="C297" s="1">
        <v>36</v>
      </c>
      <c r="D297" s="1">
        <v>63000</v>
      </c>
      <c r="E297" s="1">
        <v>0</v>
      </c>
    </row>
    <row r="298" spans="1:5" x14ac:dyDescent="0.25">
      <c r="A298" s="1">
        <v>15673539</v>
      </c>
      <c r="B298" s="1" t="s">
        <v>5</v>
      </c>
      <c r="C298" s="1">
        <v>42</v>
      </c>
      <c r="D298" s="1">
        <v>73000</v>
      </c>
      <c r="E298" s="1">
        <v>1</v>
      </c>
    </row>
    <row r="299" spans="1:5" x14ac:dyDescent="0.25">
      <c r="A299" s="1">
        <v>15705298</v>
      </c>
      <c r="B299" s="1" t="s">
        <v>6</v>
      </c>
      <c r="C299" s="1">
        <v>43</v>
      </c>
      <c r="D299" s="1">
        <v>112000</v>
      </c>
      <c r="E299" s="1">
        <v>1</v>
      </c>
    </row>
    <row r="300" spans="1:5" x14ac:dyDescent="0.25">
      <c r="A300" s="1">
        <v>15675791</v>
      </c>
      <c r="B300" s="1" t="s">
        <v>5</v>
      </c>
      <c r="C300" s="1">
        <v>45</v>
      </c>
      <c r="D300" s="1">
        <v>79000</v>
      </c>
      <c r="E300" s="1">
        <v>0</v>
      </c>
    </row>
    <row r="301" spans="1:5" x14ac:dyDescent="0.25">
      <c r="A301" s="1">
        <v>15747043</v>
      </c>
      <c r="B301" s="1" t="s">
        <v>5</v>
      </c>
      <c r="C301" s="1">
        <v>46</v>
      </c>
      <c r="D301" s="1">
        <v>117000</v>
      </c>
      <c r="E301" s="1">
        <v>1</v>
      </c>
    </row>
    <row r="302" spans="1:5" x14ac:dyDescent="0.25">
      <c r="A302" s="1">
        <v>15736397</v>
      </c>
      <c r="B302" s="1" t="s">
        <v>6</v>
      </c>
      <c r="C302" s="1">
        <v>58</v>
      </c>
      <c r="D302" s="1">
        <v>38000</v>
      </c>
      <c r="E302" s="1">
        <v>1</v>
      </c>
    </row>
    <row r="303" spans="1:5" x14ac:dyDescent="0.25">
      <c r="A303" s="1">
        <v>15678201</v>
      </c>
      <c r="B303" s="1" t="s">
        <v>5</v>
      </c>
      <c r="C303" s="1">
        <v>48</v>
      </c>
      <c r="D303" s="1">
        <v>74000</v>
      </c>
      <c r="E303" s="1">
        <v>1</v>
      </c>
    </row>
    <row r="304" spans="1:5" x14ac:dyDescent="0.25">
      <c r="A304" s="1">
        <v>15720745</v>
      </c>
      <c r="B304" s="1" t="s">
        <v>6</v>
      </c>
      <c r="C304" s="1">
        <v>37</v>
      </c>
      <c r="D304" s="1">
        <v>137000</v>
      </c>
      <c r="E304" s="1">
        <v>1</v>
      </c>
    </row>
    <row r="305" spans="1:5" x14ac:dyDescent="0.25">
      <c r="A305" s="1">
        <v>15637593</v>
      </c>
      <c r="B305" s="1" t="s">
        <v>5</v>
      </c>
      <c r="C305" s="1">
        <v>37</v>
      </c>
      <c r="D305" s="1">
        <v>79000</v>
      </c>
      <c r="E305" s="1">
        <v>1</v>
      </c>
    </row>
    <row r="306" spans="1:5" x14ac:dyDescent="0.25">
      <c r="A306" s="1">
        <v>15598070</v>
      </c>
      <c r="B306" s="1" t="s">
        <v>6</v>
      </c>
      <c r="C306" s="1">
        <v>40</v>
      </c>
      <c r="D306" s="1">
        <v>60000</v>
      </c>
      <c r="E306" s="1">
        <v>0</v>
      </c>
    </row>
    <row r="307" spans="1:5" x14ac:dyDescent="0.25">
      <c r="A307" s="1">
        <v>15787550</v>
      </c>
      <c r="B307" s="1" t="s">
        <v>5</v>
      </c>
      <c r="C307" s="1">
        <v>42</v>
      </c>
      <c r="D307" s="1">
        <v>54000</v>
      </c>
      <c r="E307" s="1">
        <v>0</v>
      </c>
    </row>
    <row r="308" spans="1:5" x14ac:dyDescent="0.25">
      <c r="A308" s="1">
        <v>15603942</v>
      </c>
      <c r="B308" s="1" t="s">
        <v>6</v>
      </c>
      <c r="C308" s="1">
        <v>51</v>
      </c>
      <c r="D308" s="1">
        <v>134000</v>
      </c>
      <c r="E308" s="1">
        <v>0</v>
      </c>
    </row>
    <row r="309" spans="1:5" x14ac:dyDescent="0.25">
      <c r="A309" s="1">
        <v>15733973</v>
      </c>
      <c r="B309" s="1" t="s">
        <v>6</v>
      </c>
      <c r="C309" s="1">
        <v>47</v>
      </c>
      <c r="D309" s="1">
        <v>113000</v>
      </c>
      <c r="E309" s="1">
        <v>1</v>
      </c>
    </row>
    <row r="310" spans="1:5" x14ac:dyDescent="0.25">
      <c r="A310" s="1">
        <v>15596761</v>
      </c>
      <c r="B310" s="1" t="s">
        <v>5</v>
      </c>
      <c r="C310" s="1">
        <v>36</v>
      </c>
      <c r="D310" s="1">
        <v>125000</v>
      </c>
      <c r="E310" s="1">
        <v>1</v>
      </c>
    </row>
    <row r="311" spans="1:5" x14ac:dyDescent="0.25">
      <c r="A311" s="1">
        <v>15652400</v>
      </c>
      <c r="B311" s="1" t="s">
        <v>6</v>
      </c>
      <c r="C311" s="1">
        <v>38</v>
      </c>
      <c r="D311" s="1">
        <v>50000</v>
      </c>
      <c r="E311" s="1">
        <v>0</v>
      </c>
    </row>
    <row r="312" spans="1:5" x14ac:dyDescent="0.25">
      <c r="A312" s="1">
        <v>15717893</v>
      </c>
      <c r="B312" s="1" t="s">
        <v>6</v>
      </c>
      <c r="C312" s="1">
        <v>42</v>
      </c>
      <c r="D312" s="1">
        <v>70000</v>
      </c>
      <c r="E312" s="1">
        <v>0</v>
      </c>
    </row>
    <row r="313" spans="1:5" x14ac:dyDescent="0.25">
      <c r="A313" s="1">
        <v>15622585</v>
      </c>
      <c r="B313" s="1" t="s">
        <v>5</v>
      </c>
      <c r="C313" s="1">
        <v>39</v>
      </c>
      <c r="D313" s="1">
        <v>96000</v>
      </c>
      <c r="E313" s="1">
        <v>1</v>
      </c>
    </row>
    <row r="314" spans="1:5" x14ac:dyDescent="0.25">
      <c r="A314" s="1">
        <v>15733964</v>
      </c>
      <c r="B314" s="1" t="s">
        <v>6</v>
      </c>
      <c r="C314" s="1">
        <v>38</v>
      </c>
      <c r="D314" s="1">
        <v>50000</v>
      </c>
      <c r="E314" s="1">
        <v>0</v>
      </c>
    </row>
    <row r="315" spans="1:5" x14ac:dyDescent="0.25">
      <c r="A315" s="1">
        <v>15753861</v>
      </c>
      <c r="B315" s="1" t="s">
        <v>6</v>
      </c>
      <c r="C315" s="1">
        <v>49</v>
      </c>
      <c r="D315" s="1">
        <v>141000</v>
      </c>
      <c r="E315" s="1">
        <v>1</v>
      </c>
    </row>
    <row r="316" spans="1:5" x14ac:dyDescent="0.25">
      <c r="A316" s="1">
        <v>15747097</v>
      </c>
      <c r="B316" s="1" t="s">
        <v>6</v>
      </c>
      <c r="C316" s="1">
        <v>39</v>
      </c>
      <c r="D316" s="1">
        <v>79000</v>
      </c>
      <c r="E316" s="1">
        <v>0</v>
      </c>
    </row>
    <row r="317" spans="1:5" x14ac:dyDescent="0.25">
      <c r="A317" s="1">
        <v>15594762</v>
      </c>
      <c r="B317" s="1" t="s">
        <v>6</v>
      </c>
      <c r="C317" s="1">
        <v>39</v>
      </c>
      <c r="D317" s="1">
        <v>75000</v>
      </c>
      <c r="E317" s="1">
        <v>1</v>
      </c>
    </row>
    <row r="318" spans="1:5" x14ac:dyDescent="0.25">
      <c r="A318" s="1">
        <v>15667417</v>
      </c>
      <c r="B318" s="1" t="s">
        <v>6</v>
      </c>
      <c r="C318" s="1">
        <v>54</v>
      </c>
      <c r="D318" s="1">
        <v>104000</v>
      </c>
      <c r="E318" s="1">
        <v>1</v>
      </c>
    </row>
    <row r="319" spans="1:5" x14ac:dyDescent="0.25">
      <c r="A319" s="1">
        <v>15684861</v>
      </c>
      <c r="B319" s="1" t="s">
        <v>5</v>
      </c>
      <c r="C319" s="1">
        <v>35</v>
      </c>
      <c r="D319" s="1">
        <v>55000</v>
      </c>
      <c r="E319" s="1">
        <v>0</v>
      </c>
    </row>
    <row r="320" spans="1:5" x14ac:dyDescent="0.25">
      <c r="A320" s="1">
        <v>15742204</v>
      </c>
      <c r="B320" s="1" t="s">
        <v>5</v>
      </c>
      <c r="C320" s="1">
        <v>45</v>
      </c>
      <c r="D320" s="1">
        <v>32000</v>
      </c>
      <c r="E320" s="1">
        <v>1</v>
      </c>
    </row>
    <row r="321" spans="1:5" x14ac:dyDescent="0.25">
      <c r="A321" s="1">
        <v>15623502</v>
      </c>
      <c r="B321" s="1" t="s">
        <v>5</v>
      </c>
      <c r="C321" s="1">
        <v>36</v>
      </c>
      <c r="D321" s="1">
        <v>60000</v>
      </c>
      <c r="E321" s="1">
        <v>0</v>
      </c>
    </row>
    <row r="322" spans="1:5" x14ac:dyDescent="0.25">
      <c r="A322" s="1">
        <v>15774872</v>
      </c>
      <c r="B322" s="1" t="s">
        <v>6</v>
      </c>
      <c r="C322" s="1">
        <v>52</v>
      </c>
      <c r="D322" s="1">
        <v>138000</v>
      </c>
      <c r="E322" s="1">
        <v>1</v>
      </c>
    </row>
    <row r="323" spans="1:5" x14ac:dyDescent="0.25">
      <c r="A323" s="1">
        <v>15611191</v>
      </c>
      <c r="B323" s="1" t="s">
        <v>6</v>
      </c>
      <c r="C323" s="1">
        <v>53</v>
      </c>
      <c r="D323" s="1">
        <v>82000</v>
      </c>
      <c r="E323" s="1">
        <v>1</v>
      </c>
    </row>
    <row r="324" spans="1:5" x14ac:dyDescent="0.25">
      <c r="A324" s="1">
        <v>15674331</v>
      </c>
      <c r="B324" s="1" t="s">
        <v>5</v>
      </c>
      <c r="C324" s="1">
        <v>41</v>
      </c>
      <c r="D324" s="1">
        <v>52000</v>
      </c>
      <c r="E324" s="1">
        <v>0</v>
      </c>
    </row>
    <row r="325" spans="1:5" x14ac:dyDescent="0.25">
      <c r="A325" s="1">
        <v>15619465</v>
      </c>
      <c r="B325" s="1" t="s">
        <v>6</v>
      </c>
      <c r="C325" s="1">
        <v>48</v>
      </c>
      <c r="D325" s="1">
        <v>30000</v>
      </c>
      <c r="E325" s="1">
        <v>1</v>
      </c>
    </row>
    <row r="326" spans="1:5" x14ac:dyDescent="0.25">
      <c r="A326" s="1">
        <v>15575247</v>
      </c>
      <c r="B326" s="1" t="s">
        <v>6</v>
      </c>
      <c r="C326" s="1">
        <v>48</v>
      </c>
      <c r="D326" s="1">
        <v>131000</v>
      </c>
      <c r="E326" s="1">
        <v>1</v>
      </c>
    </row>
    <row r="327" spans="1:5" x14ac:dyDescent="0.25">
      <c r="A327" s="1">
        <v>15695679</v>
      </c>
      <c r="B327" s="1" t="s">
        <v>6</v>
      </c>
      <c r="C327" s="1">
        <v>41</v>
      </c>
      <c r="D327" s="1">
        <v>60000</v>
      </c>
      <c r="E327" s="1">
        <v>0</v>
      </c>
    </row>
    <row r="328" spans="1:5" x14ac:dyDescent="0.25">
      <c r="A328" s="1">
        <v>15713463</v>
      </c>
      <c r="B328" s="1" t="s">
        <v>5</v>
      </c>
      <c r="C328" s="1">
        <v>41</v>
      </c>
      <c r="D328" s="1">
        <v>72000</v>
      </c>
      <c r="E328" s="1">
        <v>0</v>
      </c>
    </row>
    <row r="329" spans="1:5" x14ac:dyDescent="0.25">
      <c r="A329" s="1">
        <v>15785170</v>
      </c>
      <c r="B329" s="1" t="s">
        <v>6</v>
      </c>
      <c r="C329" s="1">
        <v>42</v>
      </c>
      <c r="D329" s="1">
        <v>75000</v>
      </c>
      <c r="E329" s="1">
        <v>0</v>
      </c>
    </row>
    <row r="330" spans="1:5" x14ac:dyDescent="0.25">
      <c r="A330" s="1">
        <v>15796351</v>
      </c>
      <c r="B330" s="1" t="s">
        <v>5</v>
      </c>
      <c r="C330" s="1">
        <v>36</v>
      </c>
      <c r="D330" s="1">
        <v>118000</v>
      </c>
      <c r="E330" s="1">
        <v>1</v>
      </c>
    </row>
    <row r="331" spans="1:5" x14ac:dyDescent="0.25">
      <c r="A331" s="1">
        <v>15639576</v>
      </c>
      <c r="B331" s="1" t="s">
        <v>6</v>
      </c>
      <c r="C331" s="1">
        <v>47</v>
      </c>
      <c r="D331" s="1">
        <v>107000</v>
      </c>
      <c r="E331" s="1">
        <v>1</v>
      </c>
    </row>
    <row r="332" spans="1:5" x14ac:dyDescent="0.25">
      <c r="A332" s="1">
        <v>15693264</v>
      </c>
      <c r="B332" s="1" t="s">
        <v>5</v>
      </c>
      <c r="C332" s="1">
        <v>38</v>
      </c>
      <c r="D332" s="1">
        <v>51000</v>
      </c>
      <c r="E332" s="1">
        <v>0</v>
      </c>
    </row>
    <row r="333" spans="1:5" x14ac:dyDescent="0.25">
      <c r="A333" s="1">
        <v>15589715</v>
      </c>
      <c r="B333" s="1" t="s">
        <v>6</v>
      </c>
      <c r="C333" s="1">
        <v>48</v>
      </c>
      <c r="D333" s="1">
        <v>119000</v>
      </c>
      <c r="E333" s="1">
        <v>1</v>
      </c>
    </row>
    <row r="334" spans="1:5" x14ac:dyDescent="0.25">
      <c r="A334" s="1">
        <v>15769902</v>
      </c>
      <c r="B334" s="1" t="s">
        <v>5</v>
      </c>
      <c r="C334" s="1">
        <v>42</v>
      </c>
      <c r="D334" s="1">
        <v>65000</v>
      </c>
      <c r="E334" s="1">
        <v>0</v>
      </c>
    </row>
    <row r="335" spans="1:5" x14ac:dyDescent="0.25">
      <c r="A335" s="1">
        <v>15587177</v>
      </c>
      <c r="B335" s="1" t="s">
        <v>5</v>
      </c>
      <c r="C335" s="1">
        <v>40</v>
      </c>
      <c r="D335" s="1">
        <v>65000</v>
      </c>
      <c r="E335" s="1">
        <v>0</v>
      </c>
    </row>
    <row r="336" spans="1:5" x14ac:dyDescent="0.25">
      <c r="A336" s="1">
        <v>15814553</v>
      </c>
      <c r="B336" s="1" t="s">
        <v>5</v>
      </c>
      <c r="C336" s="1">
        <v>57</v>
      </c>
      <c r="D336" s="1">
        <v>60000</v>
      </c>
      <c r="E336" s="1">
        <v>1</v>
      </c>
    </row>
    <row r="337" spans="1:5" x14ac:dyDescent="0.25">
      <c r="A337" s="1">
        <v>15601550</v>
      </c>
      <c r="B337" s="1" t="s">
        <v>6</v>
      </c>
      <c r="C337" s="1">
        <v>36</v>
      </c>
      <c r="D337" s="1">
        <v>54000</v>
      </c>
      <c r="E337" s="1">
        <v>0</v>
      </c>
    </row>
    <row r="338" spans="1:5" x14ac:dyDescent="0.25">
      <c r="A338" s="1">
        <v>15664907</v>
      </c>
      <c r="B338" s="1" t="s">
        <v>5</v>
      </c>
      <c r="C338" s="1">
        <v>58</v>
      </c>
      <c r="D338" s="1">
        <v>144000</v>
      </c>
      <c r="E338" s="1">
        <v>1</v>
      </c>
    </row>
    <row r="339" spans="1:5" x14ac:dyDescent="0.25">
      <c r="A339" s="1">
        <v>15612465</v>
      </c>
      <c r="B339" s="1" t="s">
        <v>5</v>
      </c>
      <c r="C339" s="1">
        <v>35</v>
      </c>
      <c r="D339" s="1">
        <v>79000</v>
      </c>
      <c r="E339" s="1">
        <v>0</v>
      </c>
    </row>
    <row r="340" spans="1:5" x14ac:dyDescent="0.25">
      <c r="A340" s="1">
        <v>15810800</v>
      </c>
      <c r="B340" s="1" t="s">
        <v>6</v>
      </c>
      <c r="C340" s="1">
        <v>38</v>
      </c>
      <c r="D340" s="1">
        <v>55000</v>
      </c>
      <c r="E340" s="1">
        <v>0</v>
      </c>
    </row>
    <row r="341" spans="1:5" x14ac:dyDescent="0.25">
      <c r="A341" s="1">
        <v>15665760</v>
      </c>
      <c r="B341" s="1" t="s">
        <v>5</v>
      </c>
      <c r="C341" s="1">
        <v>39</v>
      </c>
      <c r="D341" s="1">
        <v>122000</v>
      </c>
      <c r="E341" s="1">
        <v>1</v>
      </c>
    </row>
    <row r="342" spans="1:5" x14ac:dyDescent="0.25">
      <c r="A342" s="1">
        <v>15588080</v>
      </c>
      <c r="B342" s="1" t="s">
        <v>6</v>
      </c>
      <c r="C342" s="1">
        <v>53</v>
      </c>
      <c r="D342" s="1">
        <v>104000</v>
      </c>
      <c r="E342" s="1">
        <v>1</v>
      </c>
    </row>
    <row r="343" spans="1:5" x14ac:dyDescent="0.25">
      <c r="A343" s="1">
        <v>15776844</v>
      </c>
      <c r="B343" s="1" t="s">
        <v>5</v>
      </c>
      <c r="C343" s="1">
        <v>35</v>
      </c>
      <c r="D343" s="1">
        <v>75000</v>
      </c>
      <c r="E343" s="1">
        <v>0</v>
      </c>
    </row>
    <row r="344" spans="1:5" x14ac:dyDescent="0.25">
      <c r="A344" s="1">
        <v>15717560</v>
      </c>
      <c r="B344" s="1" t="s">
        <v>6</v>
      </c>
      <c r="C344" s="1">
        <v>38</v>
      </c>
      <c r="D344" s="1">
        <v>65000</v>
      </c>
      <c r="E344" s="1">
        <v>0</v>
      </c>
    </row>
    <row r="345" spans="1:5" x14ac:dyDescent="0.25">
      <c r="A345" s="1">
        <v>15629739</v>
      </c>
      <c r="B345" s="1" t="s">
        <v>6</v>
      </c>
      <c r="C345" s="1">
        <v>47</v>
      </c>
      <c r="D345" s="1">
        <v>51000</v>
      </c>
      <c r="E345" s="1">
        <v>1</v>
      </c>
    </row>
    <row r="346" spans="1:5" x14ac:dyDescent="0.25">
      <c r="A346" s="1">
        <v>15729908</v>
      </c>
      <c r="B346" s="1" t="s">
        <v>5</v>
      </c>
      <c r="C346" s="1">
        <v>47</v>
      </c>
      <c r="D346" s="1">
        <v>105000</v>
      </c>
      <c r="E346" s="1">
        <v>1</v>
      </c>
    </row>
    <row r="347" spans="1:5" x14ac:dyDescent="0.25">
      <c r="A347" s="1">
        <v>15716781</v>
      </c>
      <c r="B347" s="1" t="s">
        <v>6</v>
      </c>
      <c r="C347" s="1">
        <v>41</v>
      </c>
      <c r="D347" s="1">
        <v>63000</v>
      </c>
      <c r="E347" s="1">
        <v>0</v>
      </c>
    </row>
    <row r="348" spans="1:5" x14ac:dyDescent="0.25">
      <c r="A348" s="1">
        <v>15646936</v>
      </c>
      <c r="B348" s="1" t="s">
        <v>5</v>
      </c>
      <c r="C348" s="1">
        <v>53</v>
      </c>
      <c r="D348" s="1">
        <v>72000</v>
      </c>
      <c r="E348" s="1">
        <v>1</v>
      </c>
    </row>
    <row r="349" spans="1:5" x14ac:dyDescent="0.25">
      <c r="A349" s="1">
        <v>15768151</v>
      </c>
      <c r="B349" s="1" t="s">
        <v>6</v>
      </c>
      <c r="C349" s="1">
        <v>54</v>
      </c>
      <c r="D349" s="1">
        <v>108000</v>
      </c>
      <c r="E349" s="1">
        <v>1</v>
      </c>
    </row>
    <row r="350" spans="1:5" x14ac:dyDescent="0.25">
      <c r="A350" s="1">
        <v>15579212</v>
      </c>
      <c r="B350" s="1" t="s">
        <v>5</v>
      </c>
      <c r="C350" s="1">
        <v>39</v>
      </c>
      <c r="D350" s="1">
        <v>77000</v>
      </c>
      <c r="E350" s="1">
        <v>0</v>
      </c>
    </row>
    <row r="351" spans="1:5" x14ac:dyDescent="0.25">
      <c r="A351" s="1">
        <v>15721835</v>
      </c>
      <c r="B351" s="1" t="s">
        <v>5</v>
      </c>
      <c r="C351" s="1">
        <v>38</v>
      </c>
      <c r="D351" s="1">
        <v>61000</v>
      </c>
      <c r="E351" s="1">
        <v>0</v>
      </c>
    </row>
    <row r="352" spans="1:5" x14ac:dyDescent="0.25">
      <c r="A352" s="1">
        <v>15800515</v>
      </c>
      <c r="B352" s="1" t="s">
        <v>6</v>
      </c>
      <c r="C352" s="1">
        <v>38</v>
      </c>
      <c r="D352" s="1">
        <v>113000</v>
      </c>
      <c r="E352" s="1">
        <v>1</v>
      </c>
    </row>
    <row r="353" spans="1:5" x14ac:dyDescent="0.25">
      <c r="A353" s="1">
        <v>15591279</v>
      </c>
      <c r="B353" s="1" t="s">
        <v>5</v>
      </c>
      <c r="C353" s="1">
        <v>37</v>
      </c>
      <c r="D353" s="1">
        <v>75000</v>
      </c>
      <c r="E353" s="1">
        <v>0</v>
      </c>
    </row>
    <row r="354" spans="1:5" x14ac:dyDescent="0.25">
      <c r="A354" s="1">
        <v>15587419</v>
      </c>
      <c r="B354" s="1" t="s">
        <v>6</v>
      </c>
      <c r="C354" s="1">
        <v>42</v>
      </c>
      <c r="D354" s="1">
        <v>90000</v>
      </c>
      <c r="E354" s="1">
        <v>1</v>
      </c>
    </row>
    <row r="355" spans="1:5" x14ac:dyDescent="0.25">
      <c r="A355" s="1">
        <v>15750335</v>
      </c>
      <c r="B355" s="1" t="s">
        <v>6</v>
      </c>
      <c r="C355" s="1">
        <v>37</v>
      </c>
      <c r="D355" s="1">
        <v>57000</v>
      </c>
      <c r="E355" s="1">
        <v>0</v>
      </c>
    </row>
    <row r="356" spans="1:5" x14ac:dyDescent="0.25">
      <c r="A356" s="1">
        <v>15699619</v>
      </c>
      <c r="B356" s="1" t="s">
        <v>5</v>
      </c>
      <c r="C356" s="1">
        <v>36</v>
      </c>
      <c r="D356" s="1">
        <v>99000</v>
      </c>
      <c r="E356" s="1">
        <v>1</v>
      </c>
    </row>
    <row r="357" spans="1:5" x14ac:dyDescent="0.25">
      <c r="A357" s="1">
        <v>15606472</v>
      </c>
      <c r="B357" s="1" t="s">
        <v>5</v>
      </c>
      <c r="C357" s="1">
        <v>60</v>
      </c>
      <c r="D357" s="1">
        <v>34000</v>
      </c>
      <c r="E357" s="1">
        <v>1</v>
      </c>
    </row>
    <row r="358" spans="1:5" x14ac:dyDescent="0.25">
      <c r="A358" s="1">
        <v>15778368</v>
      </c>
      <c r="B358" s="1" t="s">
        <v>5</v>
      </c>
      <c r="C358" s="1">
        <v>54</v>
      </c>
      <c r="D358" s="1">
        <v>70000</v>
      </c>
      <c r="E358" s="1">
        <v>1</v>
      </c>
    </row>
    <row r="359" spans="1:5" x14ac:dyDescent="0.25">
      <c r="A359" s="1">
        <v>15671387</v>
      </c>
      <c r="B359" s="1" t="s">
        <v>6</v>
      </c>
      <c r="C359" s="1">
        <v>41</v>
      </c>
      <c r="D359" s="1">
        <v>72000</v>
      </c>
      <c r="E359" s="1">
        <v>0</v>
      </c>
    </row>
    <row r="360" spans="1:5" x14ac:dyDescent="0.25">
      <c r="A360" s="1">
        <v>15573926</v>
      </c>
      <c r="B360" s="1" t="s">
        <v>5</v>
      </c>
      <c r="C360" s="1">
        <v>40</v>
      </c>
      <c r="D360" s="1">
        <v>71000</v>
      </c>
      <c r="E360" s="1">
        <v>1</v>
      </c>
    </row>
    <row r="361" spans="1:5" x14ac:dyDescent="0.25">
      <c r="A361" s="1">
        <v>15709183</v>
      </c>
      <c r="B361" s="1" t="s">
        <v>5</v>
      </c>
      <c r="C361" s="1">
        <v>42</v>
      </c>
      <c r="D361" s="1">
        <v>54000</v>
      </c>
      <c r="E361" s="1">
        <v>0</v>
      </c>
    </row>
    <row r="362" spans="1:5" x14ac:dyDescent="0.25">
      <c r="A362" s="1">
        <v>15577514</v>
      </c>
      <c r="B362" s="1" t="s">
        <v>5</v>
      </c>
      <c r="C362" s="1">
        <v>43</v>
      </c>
      <c r="D362" s="1">
        <v>129000</v>
      </c>
      <c r="E362" s="1">
        <v>1</v>
      </c>
    </row>
    <row r="363" spans="1:5" x14ac:dyDescent="0.25">
      <c r="A363" s="1">
        <v>15778830</v>
      </c>
      <c r="B363" s="1" t="s">
        <v>6</v>
      </c>
      <c r="C363" s="1">
        <v>53</v>
      </c>
      <c r="D363" s="1">
        <v>34000</v>
      </c>
      <c r="E363" s="1">
        <v>1</v>
      </c>
    </row>
    <row r="364" spans="1:5" x14ac:dyDescent="0.25">
      <c r="A364" s="1">
        <v>15768072</v>
      </c>
      <c r="B364" s="1" t="s">
        <v>6</v>
      </c>
      <c r="C364" s="1">
        <v>47</v>
      </c>
      <c r="D364" s="1">
        <v>50000</v>
      </c>
      <c r="E364" s="1">
        <v>1</v>
      </c>
    </row>
    <row r="365" spans="1:5" x14ac:dyDescent="0.25">
      <c r="A365" s="1">
        <v>15768293</v>
      </c>
      <c r="B365" s="1" t="s">
        <v>6</v>
      </c>
      <c r="C365" s="1">
        <v>42</v>
      </c>
      <c r="D365" s="1">
        <v>79000</v>
      </c>
      <c r="E365" s="1">
        <v>0</v>
      </c>
    </row>
    <row r="366" spans="1:5" x14ac:dyDescent="0.25">
      <c r="A366" s="1">
        <v>15654456</v>
      </c>
      <c r="B366" s="1" t="s">
        <v>5</v>
      </c>
      <c r="C366" s="1">
        <v>42</v>
      </c>
      <c r="D366" s="1">
        <v>104000</v>
      </c>
      <c r="E366" s="1">
        <v>1</v>
      </c>
    </row>
    <row r="367" spans="1:5" x14ac:dyDescent="0.25">
      <c r="A367" s="1">
        <v>15807525</v>
      </c>
      <c r="B367" s="1" t="s">
        <v>6</v>
      </c>
      <c r="C367" s="1">
        <v>59</v>
      </c>
      <c r="D367" s="1">
        <v>29000</v>
      </c>
      <c r="E367" s="1">
        <v>1</v>
      </c>
    </row>
    <row r="368" spans="1:5" x14ac:dyDescent="0.25">
      <c r="A368" s="1">
        <v>15574372</v>
      </c>
      <c r="B368" s="1" t="s">
        <v>6</v>
      </c>
      <c r="C368" s="1">
        <v>58</v>
      </c>
      <c r="D368" s="1">
        <v>47000</v>
      </c>
      <c r="E368" s="1">
        <v>1</v>
      </c>
    </row>
    <row r="369" spans="1:5" x14ac:dyDescent="0.25">
      <c r="A369" s="1">
        <v>15671249</v>
      </c>
      <c r="B369" s="1" t="s">
        <v>5</v>
      </c>
      <c r="C369" s="1">
        <v>46</v>
      </c>
      <c r="D369" s="1">
        <v>88000</v>
      </c>
      <c r="E369" s="1">
        <v>1</v>
      </c>
    </row>
    <row r="370" spans="1:5" x14ac:dyDescent="0.25">
      <c r="A370" s="1">
        <v>15779744</v>
      </c>
      <c r="B370" s="1" t="s">
        <v>5</v>
      </c>
      <c r="C370" s="1">
        <v>38</v>
      </c>
      <c r="D370" s="1">
        <v>71000</v>
      </c>
      <c r="E370" s="1">
        <v>0</v>
      </c>
    </row>
    <row r="371" spans="1:5" x14ac:dyDescent="0.25">
      <c r="A371" s="1">
        <v>15624755</v>
      </c>
      <c r="B371" s="1" t="s">
        <v>6</v>
      </c>
      <c r="C371" s="1">
        <v>54</v>
      </c>
      <c r="D371" s="1">
        <v>26000</v>
      </c>
      <c r="E371" s="1">
        <v>1</v>
      </c>
    </row>
    <row r="372" spans="1:5" x14ac:dyDescent="0.25">
      <c r="A372" s="1">
        <v>15611430</v>
      </c>
      <c r="B372" s="1" t="s">
        <v>6</v>
      </c>
      <c r="C372" s="1">
        <v>60</v>
      </c>
      <c r="D372" s="1">
        <v>46000</v>
      </c>
      <c r="E372" s="1">
        <v>1</v>
      </c>
    </row>
    <row r="373" spans="1:5" x14ac:dyDescent="0.25">
      <c r="A373" s="1">
        <v>15774744</v>
      </c>
      <c r="B373" s="1" t="s">
        <v>5</v>
      </c>
      <c r="C373" s="1">
        <v>60</v>
      </c>
      <c r="D373" s="1">
        <v>83000</v>
      </c>
      <c r="E373" s="1">
        <v>1</v>
      </c>
    </row>
    <row r="374" spans="1:5" x14ac:dyDescent="0.25">
      <c r="A374" s="1">
        <v>15629885</v>
      </c>
      <c r="B374" s="1" t="s">
        <v>6</v>
      </c>
      <c r="C374" s="1">
        <v>39</v>
      </c>
      <c r="D374" s="1">
        <v>73000</v>
      </c>
      <c r="E374" s="1">
        <v>0</v>
      </c>
    </row>
    <row r="375" spans="1:5" x14ac:dyDescent="0.25">
      <c r="A375" s="1">
        <v>15708791</v>
      </c>
      <c r="B375" s="1" t="s">
        <v>5</v>
      </c>
      <c r="C375" s="1">
        <v>59</v>
      </c>
      <c r="D375" s="1">
        <v>130000</v>
      </c>
      <c r="E375" s="1">
        <v>1</v>
      </c>
    </row>
    <row r="376" spans="1:5" x14ac:dyDescent="0.25">
      <c r="A376" s="1">
        <v>15793890</v>
      </c>
      <c r="B376" s="1" t="s">
        <v>6</v>
      </c>
      <c r="C376" s="1">
        <v>37</v>
      </c>
      <c r="D376" s="1">
        <v>80000</v>
      </c>
      <c r="E376" s="1">
        <v>0</v>
      </c>
    </row>
    <row r="377" spans="1:5" x14ac:dyDescent="0.25">
      <c r="A377" s="1">
        <v>15646091</v>
      </c>
      <c r="B377" s="1" t="s">
        <v>6</v>
      </c>
      <c r="C377" s="1">
        <v>46</v>
      </c>
      <c r="D377" s="1">
        <v>32000</v>
      </c>
      <c r="E377" s="1">
        <v>1</v>
      </c>
    </row>
    <row r="378" spans="1:5" x14ac:dyDescent="0.25">
      <c r="A378" s="1">
        <v>15596984</v>
      </c>
      <c r="B378" s="1" t="s">
        <v>6</v>
      </c>
      <c r="C378" s="1">
        <v>46</v>
      </c>
      <c r="D378" s="1">
        <v>74000</v>
      </c>
      <c r="E378" s="1">
        <v>0</v>
      </c>
    </row>
    <row r="379" spans="1:5" x14ac:dyDescent="0.25">
      <c r="A379" s="1">
        <v>15800215</v>
      </c>
      <c r="B379" s="1" t="s">
        <v>6</v>
      </c>
      <c r="C379" s="1">
        <v>42</v>
      </c>
      <c r="D379" s="1">
        <v>53000</v>
      </c>
      <c r="E379" s="1">
        <v>0</v>
      </c>
    </row>
    <row r="380" spans="1:5" x14ac:dyDescent="0.25">
      <c r="A380" s="1">
        <v>15577806</v>
      </c>
      <c r="B380" s="1" t="s">
        <v>5</v>
      </c>
      <c r="C380" s="1">
        <v>41</v>
      </c>
      <c r="D380" s="1">
        <v>87000</v>
      </c>
      <c r="E380" s="1">
        <v>1</v>
      </c>
    </row>
    <row r="381" spans="1:5" x14ac:dyDescent="0.25">
      <c r="A381" s="1">
        <v>15749381</v>
      </c>
      <c r="B381" s="1" t="s">
        <v>6</v>
      </c>
      <c r="C381" s="1">
        <v>58</v>
      </c>
      <c r="D381" s="1">
        <v>23000</v>
      </c>
      <c r="E381" s="1">
        <v>1</v>
      </c>
    </row>
    <row r="382" spans="1:5" x14ac:dyDescent="0.25">
      <c r="A382" s="1">
        <v>15683758</v>
      </c>
      <c r="B382" s="1" t="s">
        <v>5</v>
      </c>
      <c r="C382" s="1">
        <v>42</v>
      </c>
      <c r="D382" s="1">
        <v>64000</v>
      </c>
      <c r="E382" s="1">
        <v>0</v>
      </c>
    </row>
    <row r="383" spans="1:5" x14ac:dyDescent="0.25">
      <c r="A383" s="1">
        <v>15670615</v>
      </c>
      <c r="B383" s="1" t="s">
        <v>5</v>
      </c>
      <c r="C383" s="1">
        <v>48</v>
      </c>
      <c r="D383" s="1">
        <v>33000</v>
      </c>
      <c r="E383" s="1">
        <v>1</v>
      </c>
    </row>
    <row r="384" spans="1:5" x14ac:dyDescent="0.25">
      <c r="A384" s="1">
        <v>15715622</v>
      </c>
      <c r="B384" s="1" t="s">
        <v>6</v>
      </c>
      <c r="C384" s="1">
        <v>44</v>
      </c>
      <c r="D384" s="1">
        <v>139000</v>
      </c>
      <c r="E384" s="1">
        <v>1</v>
      </c>
    </row>
    <row r="385" spans="1:5" x14ac:dyDescent="0.25">
      <c r="A385" s="1">
        <v>15707634</v>
      </c>
      <c r="B385" s="1" t="s">
        <v>5</v>
      </c>
      <c r="C385" s="1">
        <v>49</v>
      </c>
      <c r="D385" s="1">
        <v>28000</v>
      </c>
      <c r="E385" s="1">
        <v>1</v>
      </c>
    </row>
    <row r="386" spans="1:5" x14ac:dyDescent="0.25">
      <c r="A386" s="1">
        <v>15806901</v>
      </c>
      <c r="B386" s="1" t="s">
        <v>6</v>
      </c>
      <c r="C386" s="1">
        <v>57</v>
      </c>
      <c r="D386" s="1">
        <v>33000</v>
      </c>
      <c r="E386" s="1">
        <v>1</v>
      </c>
    </row>
    <row r="387" spans="1:5" x14ac:dyDescent="0.25">
      <c r="A387" s="1">
        <v>15775335</v>
      </c>
      <c r="B387" s="1" t="s">
        <v>5</v>
      </c>
      <c r="C387" s="1">
        <v>56</v>
      </c>
      <c r="D387" s="1">
        <v>60000</v>
      </c>
      <c r="E387" s="1">
        <v>1</v>
      </c>
    </row>
    <row r="388" spans="1:5" x14ac:dyDescent="0.25">
      <c r="A388" s="1">
        <v>15724150</v>
      </c>
      <c r="B388" s="1" t="s">
        <v>6</v>
      </c>
      <c r="C388" s="1">
        <v>49</v>
      </c>
      <c r="D388" s="1">
        <v>39000</v>
      </c>
      <c r="E388" s="1">
        <v>1</v>
      </c>
    </row>
    <row r="389" spans="1:5" x14ac:dyDescent="0.25">
      <c r="A389" s="1">
        <v>15627220</v>
      </c>
      <c r="B389" s="1" t="s">
        <v>5</v>
      </c>
      <c r="C389" s="1">
        <v>39</v>
      </c>
      <c r="D389" s="1">
        <v>71000</v>
      </c>
      <c r="E389" s="1">
        <v>0</v>
      </c>
    </row>
    <row r="390" spans="1:5" x14ac:dyDescent="0.25">
      <c r="A390" s="1">
        <v>15672330</v>
      </c>
      <c r="B390" s="1" t="s">
        <v>5</v>
      </c>
      <c r="C390" s="1">
        <v>47</v>
      </c>
      <c r="D390" s="1">
        <v>34000</v>
      </c>
      <c r="E390" s="1">
        <v>1</v>
      </c>
    </row>
    <row r="391" spans="1:5" x14ac:dyDescent="0.25">
      <c r="A391" s="1">
        <v>15668521</v>
      </c>
      <c r="B391" s="1" t="s">
        <v>6</v>
      </c>
      <c r="C391" s="1">
        <v>48</v>
      </c>
      <c r="D391" s="1">
        <v>35000</v>
      </c>
      <c r="E391" s="1">
        <v>1</v>
      </c>
    </row>
    <row r="392" spans="1:5" x14ac:dyDescent="0.25">
      <c r="A392" s="1">
        <v>15807837</v>
      </c>
      <c r="B392" s="1" t="s">
        <v>5</v>
      </c>
      <c r="C392" s="1">
        <v>48</v>
      </c>
      <c r="D392" s="1">
        <v>33000</v>
      </c>
      <c r="E392" s="1">
        <v>1</v>
      </c>
    </row>
    <row r="393" spans="1:5" x14ac:dyDescent="0.25">
      <c r="A393" s="1">
        <v>15592570</v>
      </c>
      <c r="B393" s="1" t="s">
        <v>5</v>
      </c>
      <c r="C393" s="1">
        <v>47</v>
      </c>
      <c r="D393" s="1">
        <v>23000</v>
      </c>
      <c r="E393" s="1">
        <v>1</v>
      </c>
    </row>
    <row r="394" spans="1:5" x14ac:dyDescent="0.25">
      <c r="A394" s="1">
        <v>15748589</v>
      </c>
      <c r="B394" s="1" t="s">
        <v>6</v>
      </c>
      <c r="C394" s="1">
        <v>45</v>
      </c>
      <c r="D394" s="1">
        <v>45000</v>
      </c>
      <c r="E394" s="1">
        <v>1</v>
      </c>
    </row>
    <row r="395" spans="1:5" x14ac:dyDescent="0.25">
      <c r="A395" s="1">
        <v>15635893</v>
      </c>
      <c r="B395" s="1" t="s">
        <v>5</v>
      </c>
      <c r="C395" s="1">
        <v>60</v>
      </c>
      <c r="D395" s="1">
        <v>42000</v>
      </c>
      <c r="E395" s="1">
        <v>1</v>
      </c>
    </row>
    <row r="396" spans="1:5" x14ac:dyDescent="0.25">
      <c r="A396" s="1">
        <v>15757632</v>
      </c>
      <c r="B396" s="1" t="s">
        <v>6</v>
      </c>
      <c r="C396" s="1">
        <v>39</v>
      </c>
      <c r="D396" s="1">
        <v>59000</v>
      </c>
      <c r="E396" s="1">
        <v>0</v>
      </c>
    </row>
    <row r="397" spans="1:5" x14ac:dyDescent="0.25">
      <c r="A397" s="1">
        <v>15691863</v>
      </c>
      <c r="B397" s="1" t="s">
        <v>6</v>
      </c>
      <c r="C397" s="1">
        <v>46</v>
      </c>
      <c r="D397" s="1">
        <v>41000</v>
      </c>
      <c r="E397" s="1">
        <v>1</v>
      </c>
    </row>
    <row r="398" spans="1:5" x14ac:dyDescent="0.25">
      <c r="A398" s="1">
        <v>15706071</v>
      </c>
      <c r="B398" s="1" t="s">
        <v>5</v>
      </c>
      <c r="C398" s="1">
        <v>51</v>
      </c>
      <c r="D398" s="1">
        <v>23000</v>
      </c>
      <c r="E398" s="1">
        <v>1</v>
      </c>
    </row>
    <row r="399" spans="1:5" x14ac:dyDescent="0.25">
      <c r="A399" s="1">
        <v>15654296</v>
      </c>
      <c r="B399" s="1" t="s">
        <v>6</v>
      </c>
      <c r="C399" s="1">
        <v>50</v>
      </c>
      <c r="D399" s="1">
        <v>20000</v>
      </c>
      <c r="E399" s="1">
        <v>1</v>
      </c>
    </row>
    <row r="400" spans="1:5" x14ac:dyDescent="0.25">
      <c r="A400" s="1">
        <v>15755018</v>
      </c>
      <c r="B400" s="1" t="s">
        <v>5</v>
      </c>
      <c r="C400" s="1">
        <v>36</v>
      </c>
      <c r="D400" s="1">
        <v>33000</v>
      </c>
      <c r="E400" s="1">
        <v>0</v>
      </c>
    </row>
    <row r="401" spans="1:5" x14ac:dyDescent="0.25">
      <c r="A401" s="1">
        <v>15594041</v>
      </c>
      <c r="B401" s="1" t="s">
        <v>6</v>
      </c>
      <c r="C401" s="1">
        <v>49</v>
      </c>
      <c r="D401" s="1">
        <v>36000</v>
      </c>
      <c r="E401" s="1">
        <v>1</v>
      </c>
    </row>
  </sheetData>
  <pageMargins left="0.7" right="0.7" top="0.75" bottom="0.75" header="0.3" footer="0.3"/>
  <pageSetup paperSize="28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Sheet2!Customer_Behaviour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Saoki ramada</cp:lastModifiedBy>
  <dcterms:created xsi:type="dcterms:W3CDTF">2025-05-05T02:47:03Z</dcterms:created>
  <dcterms:modified xsi:type="dcterms:W3CDTF">2026-02-03T03:57:03Z</dcterms:modified>
</cp:coreProperties>
</file>