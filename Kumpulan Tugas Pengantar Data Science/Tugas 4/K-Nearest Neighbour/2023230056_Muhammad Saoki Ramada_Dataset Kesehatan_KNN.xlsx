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Semester 4\Pengantar Data Science\"/>
    </mc:Choice>
  </mc:AlternateContent>
  <xr:revisionPtr revIDLastSave="0" documentId="13_ncr:1_{8D7BE1DE-D696-40B3-B0E3-D6562623BF56}" xr6:coauthVersionLast="46" xr6:coauthVersionMax="46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H3" i="1" l="1"/>
  <c r="H16" i="1"/>
  <c r="H15" i="1"/>
  <c r="H14" i="1"/>
  <c r="H26" i="1"/>
  <c r="H18" i="1"/>
  <c r="H10" i="1"/>
  <c r="H25" i="1"/>
  <c r="H17" i="1"/>
  <c r="H9" i="1"/>
  <c r="H8" i="1"/>
  <c r="H7" i="1"/>
  <c r="H6" i="1"/>
  <c r="H5" i="1"/>
  <c r="H4" i="1"/>
  <c r="H24" i="1"/>
  <c r="H23" i="1"/>
  <c r="H22" i="1"/>
  <c r="H21" i="1"/>
  <c r="H13" i="1"/>
  <c r="H20" i="1"/>
  <c r="H12" i="1"/>
  <c r="H2" i="1"/>
  <c r="H19" i="1"/>
  <c r="H11" i="1"/>
</calcChain>
</file>

<file path=xl/sharedStrings.xml><?xml version="1.0" encoding="utf-8"?>
<sst xmlns="http://schemas.openxmlformats.org/spreadsheetml/2006/main" count="37" uniqueCount="14">
  <si>
    <t>Tinggi (cm)</t>
  </si>
  <si>
    <t>Berat (kg)</t>
  </si>
  <si>
    <t>L Perut (cm)</t>
  </si>
  <si>
    <t>L Panggul (cm)</t>
  </si>
  <si>
    <t>Lemak (hg)</t>
  </si>
  <si>
    <t>Label</t>
  </si>
  <si>
    <t>Penderita diabetes</t>
  </si>
  <si>
    <t>sehat</t>
  </si>
  <si>
    <t>Kurang Gula atau hipoglikemi</t>
  </si>
  <si>
    <t>Jarak</t>
  </si>
  <si>
    <t>Ranking</t>
  </si>
  <si>
    <t>K = 9</t>
  </si>
  <si>
    <t>sebanyak 6 buah dibandingkan sehat sebanyak 3 buah, dengan K = 9</t>
  </si>
  <si>
    <r>
      <t xml:space="preserve">Dengan menggunakan metode K-NN, kita dapat memprediksi data baru termasuk ke dalam golongan </t>
    </r>
    <r>
      <rPr>
        <sz val="12"/>
        <color rgb="FFFF0000"/>
        <rFont val="Calibri"/>
        <family val="2"/>
        <scheme val="minor"/>
      </rPr>
      <t>"Penderita Diabetes"</t>
    </r>
    <r>
      <rPr>
        <sz val="12"/>
        <color theme="1"/>
        <rFont val="Calibri"/>
        <family val="2"/>
        <scheme val="minor"/>
      </rPr>
      <t>, karena berdekatan dengan Label "Penderita Diabetes"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</si>
</sst>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75" workbookViewId="0">
      <selection activeCell="F12" sqref="F12"/>
    </sheetView>
  </sheetViews>
  <sheetFormatPr defaultRowHeight="15.75" x14ac:dyDescent="0.25"/>
  <cols>
    <col min="1" max="1" width="10" bestFit="1" customWidth="1"/>
    <col min="2" max="2" width="8.875" bestFit="1" customWidth="1"/>
    <col min="3" max="3" width="10.625" bestFit="1" customWidth="1"/>
    <col min="4" max="4" width="13" bestFit="1" customWidth="1"/>
    <col min="5" max="5" width="10.5" bestFit="1" customWidth="1"/>
    <col min="6" max="6" width="29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J1" s="1" t="s">
        <v>11</v>
      </c>
    </row>
    <row r="2" spans="1:10" x14ac:dyDescent="0.25">
      <c r="A2" s="3">
        <v>162</v>
      </c>
      <c r="B2" s="3">
        <v>56</v>
      </c>
      <c r="C2" s="3">
        <v>74</v>
      </c>
      <c r="D2" s="3">
        <v>90</v>
      </c>
      <c r="E2" s="3">
        <v>31.7</v>
      </c>
      <c r="F2" s="3" t="s">
        <v>6</v>
      </c>
      <c r="G2">
        <f>SQRT((A2-$A$27)^2+(B2-$B$27)^2+(C2-$C$27)^2+(D2-$D$27)^2+(E2-$E$27)^2)</f>
        <v>17.846288129468267</v>
      </c>
      <c r="H2">
        <f>_xlfn.RANK.AVG(G2,$G$2:$G$26,1)</f>
        <v>2</v>
      </c>
      <c r="J2" t="str">
        <f>IF(G2&lt;=SMALL($G$2:$G$26,9),F2,"")</f>
        <v>Penderita diabetes</v>
      </c>
    </row>
    <row r="3" spans="1:10" x14ac:dyDescent="0.25">
      <c r="A3" s="3">
        <v>156</v>
      </c>
      <c r="B3" s="3">
        <v>54</v>
      </c>
      <c r="C3" s="3">
        <v>74</v>
      </c>
      <c r="D3" s="3">
        <v>88</v>
      </c>
      <c r="E3" s="3">
        <v>31</v>
      </c>
      <c r="F3" s="3" t="s">
        <v>7</v>
      </c>
      <c r="G3">
        <f t="shared" ref="G3:G26" si="0">SQRT((A3-$A$27)^2+(B3-$B$27)^2+(C3-$C$27)^2+(D3-$D$27)^2+(E3-$E$27)^2)</f>
        <v>23.45207879911715</v>
      </c>
      <c r="H3">
        <f t="shared" ref="H3:H26" si="1">_xlfn.RANK.AVG(G3,$G$2:$G$26,1)</f>
        <v>4</v>
      </c>
      <c r="J3" t="str">
        <f t="shared" ref="J3:J26" si="2">IF(G3&lt;=SMALL($G$2:$G$26,9),F3,"")</f>
        <v>sehat</v>
      </c>
    </row>
    <row r="4" spans="1:10" x14ac:dyDescent="0.25">
      <c r="A4" s="3">
        <v>155</v>
      </c>
      <c r="B4" s="3">
        <v>55</v>
      </c>
      <c r="C4" s="3">
        <v>79</v>
      </c>
      <c r="D4" s="3">
        <v>88</v>
      </c>
      <c r="E4" s="3">
        <v>27</v>
      </c>
      <c r="F4" s="3" t="s">
        <v>6</v>
      </c>
      <c r="G4">
        <f t="shared" si="0"/>
        <v>24.186773244895647</v>
      </c>
      <c r="H4">
        <f t="shared" si="1"/>
        <v>5</v>
      </c>
      <c r="J4" t="str">
        <f t="shared" si="2"/>
        <v>Penderita diabetes</v>
      </c>
    </row>
    <row r="5" spans="1:10" x14ac:dyDescent="0.25">
      <c r="A5" s="3">
        <v>155</v>
      </c>
      <c r="B5" s="3">
        <v>55</v>
      </c>
      <c r="C5" s="3">
        <v>67</v>
      </c>
      <c r="D5" s="3">
        <v>91</v>
      </c>
      <c r="E5" s="3">
        <v>29.8</v>
      </c>
      <c r="F5" s="3" t="s">
        <v>7</v>
      </c>
      <c r="G5">
        <f t="shared" si="0"/>
        <v>24.808063205337092</v>
      </c>
      <c r="H5">
        <f t="shared" si="1"/>
        <v>6</v>
      </c>
      <c r="J5" t="str">
        <f t="shared" si="2"/>
        <v>sehat</v>
      </c>
    </row>
    <row r="6" spans="1:10" x14ac:dyDescent="0.25">
      <c r="A6" s="3">
        <v>151</v>
      </c>
      <c r="B6" s="3">
        <v>58</v>
      </c>
      <c r="C6" s="3">
        <v>77</v>
      </c>
      <c r="D6" s="3">
        <v>99</v>
      </c>
      <c r="E6" s="3">
        <v>34.4</v>
      </c>
      <c r="F6" s="3" t="s">
        <v>6</v>
      </c>
      <c r="G6">
        <f t="shared" si="0"/>
        <v>26.917652200739944</v>
      </c>
      <c r="H6">
        <f t="shared" si="1"/>
        <v>10</v>
      </c>
      <c r="J6" t="str">
        <f t="shared" si="2"/>
        <v/>
      </c>
    </row>
    <row r="7" spans="1:10" x14ac:dyDescent="0.25">
      <c r="A7" s="3">
        <v>153</v>
      </c>
      <c r="B7" s="3">
        <v>52</v>
      </c>
      <c r="C7" s="3">
        <v>72</v>
      </c>
      <c r="D7" s="3">
        <v>89</v>
      </c>
      <c r="E7" s="3">
        <v>31</v>
      </c>
      <c r="F7" s="3" t="s">
        <v>7</v>
      </c>
      <c r="G7">
        <f t="shared" si="0"/>
        <v>27.092434368288131</v>
      </c>
      <c r="H7">
        <f t="shared" si="1"/>
        <v>11</v>
      </c>
      <c r="J7" t="str">
        <f t="shared" si="2"/>
        <v/>
      </c>
    </row>
    <row r="8" spans="1:10" x14ac:dyDescent="0.25">
      <c r="A8" s="3">
        <v>151.5</v>
      </c>
      <c r="B8" s="3">
        <v>58</v>
      </c>
      <c r="C8" s="3">
        <v>76</v>
      </c>
      <c r="D8" s="3">
        <v>94</v>
      </c>
      <c r="E8" s="3">
        <v>31.6</v>
      </c>
      <c r="F8" s="3" t="s">
        <v>6</v>
      </c>
      <c r="G8">
        <f t="shared" si="0"/>
        <v>24.972184525988109</v>
      </c>
      <c r="H8">
        <f t="shared" si="1"/>
        <v>7</v>
      </c>
      <c r="J8" t="str">
        <f t="shared" si="2"/>
        <v>Penderita diabetes</v>
      </c>
    </row>
    <row r="9" spans="1:10" x14ac:dyDescent="0.25">
      <c r="A9" s="3">
        <v>159</v>
      </c>
      <c r="B9" s="3">
        <v>49</v>
      </c>
      <c r="C9" s="3">
        <v>72</v>
      </c>
      <c r="D9" s="3">
        <v>89</v>
      </c>
      <c r="E9" s="3">
        <v>28.7</v>
      </c>
      <c r="F9" s="3" t="s">
        <v>7</v>
      </c>
      <c r="G9">
        <f t="shared" si="0"/>
        <v>25.539968676566538</v>
      </c>
      <c r="H9">
        <f t="shared" si="1"/>
        <v>9</v>
      </c>
      <c r="J9" t="str">
        <f t="shared" si="2"/>
        <v>sehat</v>
      </c>
    </row>
    <row r="10" spans="1:10" x14ac:dyDescent="0.25">
      <c r="A10" s="3">
        <v>150</v>
      </c>
      <c r="B10" s="3">
        <v>45</v>
      </c>
      <c r="C10" s="3">
        <v>66.5</v>
      </c>
      <c r="D10" s="3">
        <v>84.5</v>
      </c>
      <c r="E10" s="3">
        <v>25.6</v>
      </c>
      <c r="F10" s="3" t="s">
        <v>7</v>
      </c>
      <c r="G10">
        <f t="shared" si="0"/>
        <v>35.856101293922073</v>
      </c>
      <c r="H10">
        <f t="shared" si="1"/>
        <v>23</v>
      </c>
      <c r="J10" t="str">
        <f t="shared" si="2"/>
        <v/>
      </c>
    </row>
    <row r="11" spans="1:10" x14ac:dyDescent="0.25">
      <c r="A11" s="3">
        <v>159</v>
      </c>
      <c r="B11" s="3">
        <v>49</v>
      </c>
      <c r="C11" s="3">
        <v>65</v>
      </c>
      <c r="D11" s="3">
        <v>87</v>
      </c>
      <c r="E11" s="3">
        <v>24.6</v>
      </c>
      <c r="F11" s="3" t="s">
        <v>7</v>
      </c>
      <c r="G11">
        <f t="shared" si="0"/>
        <v>28.052807346146302</v>
      </c>
      <c r="H11">
        <f t="shared" si="1"/>
        <v>12</v>
      </c>
      <c r="J11" t="str">
        <f t="shared" si="2"/>
        <v/>
      </c>
    </row>
    <row r="12" spans="1:10" x14ac:dyDescent="0.25">
      <c r="A12" s="3">
        <v>161.5</v>
      </c>
      <c r="B12" s="3">
        <v>48</v>
      </c>
      <c r="C12" s="3">
        <v>63</v>
      </c>
      <c r="D12" s="3">
        <v>87</v>
      </c>
      <c r="E12" s="3">
        <v>25.3</v>
      </c>
      <c r="F12" s="3" t="s">
        <v>8</v>
      </c>
      <c r="G12">
        <f t="shared" si="0"/>
        <v>28.315013685322491</v>
      </c>
      <c r="H12">
        <f t="shared" si="1"/>
        <v>13</v>
      </c>
      <c r="J12" t="str">
        <f t="shared" si="2"/>
        <v/>
      </c>
    </row>
    <row r="13" spans="1:10" x14ac:dyDescent="0.25">
      <c r="A13" s="3">
        <v>160</v>
      </c>
      <c r="B13" s="3">
        <v>49</v>
      </c>
      <c r="C13" s="3">
        <v>62.5</v>
      </c>
      <c r="D13" s="3">
        <v>88.5</v>
      </c>
      <c r="E13" s="3">
        <v>23.9</v>
      </c>
      <c r="F13" s="3" t="s">
        <v>8</v>
      </c>
      <c r="G13">
        <f t="shared" si="0"/>
        <v>28.616603572052362</v>
      </c>
      <c r="H13">
        <f t="shared" si="1"/>
        <v>14</v>
      </c>
      <c r="J13" t="str">
        <f t="shared" si="2"/>
        <v/>
      </c>
    </row>
    <row r="14" spans="1:10" x14ac:dyDescent="0.25">
      <c r="A14" s="3">
        <v>155</v>
      </c>
      <c r="B14" s="3">
        <v>63</v>
      </c>
      <c r="C14" s="3">
        <v>76.5</v>
      </c>
      <c r="D14" s="3">
        <v>95.5</v>
      </c>
      <c r="E14" s="3">
        <v>37.799999999999997</v>
      </c>
      <c r="F14" s="3" t="s">
        <v>6</v>
      </c>
      <c r="G14">
        <f t="shared" si="0"/>
        <v>21.254176060247548</v>
      </c>
      <c r="H14">
        <f t="shared" si="1"/>
        <v>3</v>
      </c>
      <c r="J14" t="str">
        <f t="shared" si="2"/>
        <v>Penderita diabetes</v>
      </c>
    </row>
    <row r="15" spans="1:10" x14ac:dyDescent="0.25">
      <c r="A15" s="3">
        <v>148</v>
      </c>
      <c r="B15" s="3">
        <v>58</v>
      </c>
      <c r="C15" s="3">
        <v>77</v>
      </c>
      <c r="D15" s="3">
        <v>84</v>
      </c>
      <c r="E15" s="3">
        <v>36.4</v>
      </c>
      <c r="F15" s="3" t="s">
        <v>6</v>
      </c>
      <c r="G15">
        <f t="shared" si="0"/>
        <v>28.950993074504371</v>
      </c>
      <c r="H15">
        <f t="shared" si="1"/>
        <v>16</v>
      </c>
      <c r="J15" t="str">
        <f t="shared" si="2"/>
        <v/>
      </c>
    </row>
    <row r="16" spans="1:10" x14ac:dyDescent="0.25">
      <c r="A16" s="3">
        <v>151</v>
      </c>
      <c r="B16" s="3">
        <v>51</v>
      </c>
      <c r="C16" s="3">
        <v>70</v>
      </c>
      <c r="D16" s="3">
        <v>83.5</v>
      </c>
      <c r="E16" s="3">
        <v>29.6</v>
      </c>
      <c r="F16" s="3" t="s">
        <v>7</v>
      </c>
      <c r="G16">
        <f t="shared" si="0"/>
        <v>30.235905807499798</v>
      </c>
      <c r="H16">
        <f t="shared" si="1"/>
        <v>17</v>
      </c>
      <c r="J16" t="str">
        <f t="shared" si="2"/>
        <v/>
      </c>
    </row>
    <row r="17" spans="1:10" x14ac:dyDescent="0.25">
      <c r="A17" s="3">
        <v>160</v>
      </c>
      <c r="B17" s="3">
        <v>45</v>
      </c>
      <c r="C17" s="3">
        <v>70</v>
      </c>
      <c r="D17" s="3">
        <v>82</v>
      </c>
      <c r="E17" s="3">
        <v>23.7</v>
      </c>
      <c r="F17" s="3" t="s">
        <v>8</v>
      </c>
      <c r="G17">
        <f t="shared" si="0"/>
        <v>30.598856187772771</v>
      </c>
      <c r="H17">
        <f t="shared" si="1"/>
        <v>18</v>
      </c>
      <c r="J17" t="str">
        <f t="shared" si="2"/>
        <v/>
      </c>
    </row>
    <row r="18" spans="1:10" x14ac:dyDescent="0.25">
      <c r="A18" s="3">
        <v>151.5</v>
      </c>
      <c r="B18" s="3">
        <v>62</v>
      </c>
      <c r="C18" s="3">
        <v>79</v>
      </c>
      <c r="D18" s="3">
        <v>98</v>
      </c>
      <c r="E18" s="3">
        <v>37.299999999999997</v>
      </c>
      <c r="F18" s="3" t="s">
        <v>6</v>
      </c>
      <c r="G18">
        <f t="shared" si="0"/>
        <v>25.415349692656207</v>
      </c>
      <c r="H18">
        <f t="shared" si="1"/>
        <v>8</v>
      </c>
      <c r="J18" t="str">
        <f t="shared" si="2"/>
        <v>Penderita diabetes</v>
      </c>
    </row>
    <row r="19" spans="1:10" x14ac:dyDescent="0.25">
      <c r="A19" s="3">
        <v>151.5</v>
      </c>
      <c r="B19" s="3">
        <v>43</v>
      </c>
      <c r="C19" s="3">
        <v>60</v>
      </c>
      <c r="D19" s="3">
        <v>79</v>
      </c>
      <c r="E19" s="3">
        <v>23.8</v>
      </c>
      <c r="F19" s="3" t="s">
        <v>8</v>
      </c>
      <c r="G19">
        <f t="shared" si="0"/>
        <v>39.863391727247695</v>
      </c>
      <c r="H19">
        <f t="shared" si="1"/>
        <v>24</v>
      </c>
      <c r="J19" t="str">
        <f t="shared" si="2"/>
        <v/>
      </c>
    </row>
    <row r="20" spans="1:10" x14ac:dyDescent="0.25">
      <c r="A20" s="3">
        <v>160</v>
      </c>
      <c r="B20" s="3">
        <v>70</v>
      </c>
      <c r="C20" s="3">
        <v>78</v>
      </c>
      <c r="D20" s="3">
        <v>99</v>
      </c>
      <c r="E20" s="3">
        <v>33.299999999999997</v>
      </c>
      <c r="F20" s="3" t="s">
        <v>6</v>
      </c>
      <c r="G20">
        <f t="shared" si="0"/>
        <v>16.256998492956811</v>
      </c>
      <c r="H20">
        <f t="shared" si="1"/>
        <v>1</v>
      </c>
      <c r="J20" t="str">
        <f t="shared" si="2"/>
        <v>Penderita diabetes</v>
      </c>
    </row>
    <row r="21" spans="1:10" x14ac:dyDescent="0.25">
      <c r="A21" s="3">
        <v>155</v>
      </c>
      <c r="B21" s="3">
        <v>47.5</v>
      </c>
      <c r="C21" s="3">
        <v>66</v>
      </c>
      <c r="D21" s="3">
        <v>85.5</v>
      </c>
      <c r="E21" s="3">
        <v>26.6</v>
      </c>
      <c r="F21" s="3" t="s">
        <v>7</v>
      </c>
      <c r="G21">
        <f t="shared" si="0"/>
        <v>30.836017901149297</v>
      </c>
      <c r="H21">
        <f t="shared" si="1"/>
        <v>19</v>
      </c>
      <c r="J21" t="str">
        <f t="shared" si="2"/>
        <v/>
      </c>
    </row>
    <row r="22" spans="1:10" x14ac:dyDescent="0.25">
      <c r="A22" s="3">
        <v>154</v>
      </c>
      <c r="B22" s="3">
        <v>46</v>
      </c>
      <c r="C22" s="3">
        <v>64</v>
      </c>
      <c r="D22" s="3">
        <v>84</v>
      </c>
      <c r="E22" s="3">
        <v>27</v>
      </c>
      <c r="F22" s="3" t="s">
        <v>7</v>
      </c>
      <c r="G22">
        <f t="shared" si="0"/>
        <v>33.316662497915367</v>
      </c>
      <c r="H22">
        <f t="shared" si="1"/>
        <v>20</v>
      </c>
      <c r="J22" t="str">
        <f t="shared" si="2"/>
        <v/>
      </c>
    </row>
    <row r="23" spans="1:10" x14ac:dyDescent="0.25">
      <c r="A23" s="3">
        <v>147.5</v>
      </c>
      <c r="B23" s="3">
        <v>48</v>
      </c>
      <c r="C23" s="3">
        <v>65.5</v>
      </c>
      <c r="D23" s="3">
        <v>85.5</v>
      </c>
      <c r="E23" s="3">
        <v>25.8</v>
      </c>
      <c r="F23" s="3" t="s">
        <v>6</v>
      </c>
      <c r="G23">
        <f t="shared" si="0"/>
        <v>35.662164824923344</v>
      </c>
      <c r="H23">
        <f t="shared" si="1"/>
        <v>21</v>
      </c>
      <c r="J23" t="str">
        <f t="shared" si="2"/>
        <v/>
      </c>
    </row>
    <row r="24" spans="1:10" x14ac:dyDescent="0.25">
      <c r="A24" s="3">
        <v>148</v>
      </c>
      <c r="B24" s="3">
        <v>46</v>
      </c>
      <c r="C24" s="3">
        <v>67</v>
      </c>
      <c r="D24" s="3">
        <v>86</v>
      </c>
      <c r="E24" s="3">
        <v>29.6</v>
      </c>
      <c r="F24" s="3" t="s">
        <v>7</v>
      </c>
      <c r="G24">
        <f t="shared" si="0"/>
        <v>35.818431009746924</v>
      </c>
      <c r="H24">
        <f t="shared" si="1"/>
        <v>22</v>
      </c>
      <c r="J24" t="str">
        <f t="shared" si="2"/>
        <v/>
      </c>
    </row>
    <row r="25" spans="1:10" x14ac:dyDescent="0.25">
      <c r="A25" s="3">
        <v>148</v>
      </c>
      <c r="B25" s="3">
        <v>58</v>
      </c>
      <c r="C25" s="3">
        <v>74</v>
      </c>
      <c r="D25" s="3">
        <v>83</v>
      </c>
      <c r="E25" s="3">
        <v>32.299999999999997</v>
      </c>
      <c r="F25" s="3" t="s">
        <v>6</v>
      </c>
      <c r="G25">
        <f t="shared" si="0"/>
        <v>28.647687515748981</v>
      </c>
      <c r="H25">
        <f t="shared" si="1"/>
        <v>15</v>
      </c>
      <c r="J25" t="str">
        <f t="shared" si="2"/>
        <v/>
      </c>
    </row>
    <row r="26" spans="1:10" x14ac:dyDescent="0.25">
      <c r="A26" s="3">
        <v>155</v>
      </c>
      <c r="B26" s="3">
        <v>40</v>
      </c>
      <c r="C26" s="3">
        <v>62</v>
      </c>
      <c r="D26" s="3">
        <v>73.5</v>
      </c>
      <c r="E26" s="3">
        <v>20</v>
      </c>
      <c r="F26" s="3" t="s">
        <v>8</v>
      </c>
      <c r="G26">
        <f t="shared" si="0"/>
        <v>42.264050918008323</v>
      </c>
      <c r="H26">
        <f t="shared" si="1"/>
        <v>25</v>
      </c>
      <c r="J26" t="str">
        <f t="shared" si="2"/>
        <v/>
      </c>
    </row>
    <row r="27" spans="1:10" x14ac:dyDescent="0.25">
      <c r="A27" s="3">
        <v>173</v>
      </c>
      <c r="B27" s="3">
        <v>70</v>
      </c>
      <c r="C27" s="3">
        <v>75</v>
      </c>
      <c r="D27" s="3">
        <v>90</v>
      </c>
      <c r="E27" s="3">
        <v>31</v>
      </c>
      <c r="F27" s="3" t="s">
        <v>6</v>
      </c>
    </row>
    <row r="29" spans="1:10" x14ac:dyDescent="0.25">
      <c r="A29" t="s">
        <v>13</v>
      </c>
    </row>
    <row r="30" spans="1:10" x14ac:dyDescent="0.25">
      <c r="A30" t="s">
        <v>12</v>
      </c>
    </row>
  </sheetData>
  <pageMargins left="0.7" right="0.7" top="0.75" bottom="0.75" header="0.3" footer="0.3"/>
  <pageSetup orientation="portrait" horizontalDpi="360" verticalDpi="360" r:id="rId1"/>
  <ignoredErrors>
    <ignoredError sqref="A1:F1 A9:D9 B8:D8 A22:F22 B12:D12 A11:D11 A10:B10 F10 A7:F7 A5:D5 F5 A3:F4 A2:D2 F2 A6:D6 F6 F8 F9 F11 F12 A13:B13 F13 A14:B14 F14 A15:D15 F15 A16:C16 F16 A17:D17 F17 B18:D18 F18 B19:D19 F19 A20:D20 F20 A21 F21 A27:E27 B23 F23 A24:D24 F24 A25:D25 F25 A26:C26 E26:F26 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2025-06-07T05:42:20Z</dcterms:modified>
</cp:coreProperties>
</file>